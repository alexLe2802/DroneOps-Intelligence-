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7560" windowHeight="14420" tabRatio="821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Mission" sheetId="4" state="visible" r:id="rId4"/>
    <sheet xmlns:r="http://schemas.openxmlformats.org/officeDocument/2006/relationships" name="Telemetry" sheetId="5" state="visible" r:id="rId5"/>
    <sheet xmlns:r="http://schemas.openxmlformats.org/officeDocument/2006/relationships" name="Incidents" sheetId="6" state="visible" r:id="rId6"/>
    <sheet xmlns:r="http://schemas.openxmlformats.org/officeDocument/2006/relationships" name="History" sheetId="7" state="visible" r:id="rId7"/>
    <sheet xmlns:r="http://schemas.openxmlformats.org/officeDocument/2006/relationships" name="AI" sheetId="8" state="visible" r:id="rId8"/>
    <sheet xmlns:r="http://schemas.openxmlformats.org/officeDocument/2006/relationships" name="Shared" sheetId="9" state="visible" r:id="rId9"/>
  </sheets>
  <externalReferences>
    <externalReference xmlns:r="http://schemas.openxmlformats.org/officeDocument/2006/relationships" r:id="rId10"/>
  </externalReferences>
  <definedNames>
    <definedName name="ACTION">#REF!</definedName>
    <definedName name="ACTION" localSheetId="0">#REF!</definedName>
    <definedName name="_xlnm.Print_Area" localSheetId="3">'Mission'!$A$1:$O$23</definedName>
    <definedName name="_xlnm.Print_Area" localSheetId="4">'Telemetry'!$A$1:$O$19</definedName>
    <definedName name="_xlnm.Print_Area" localSheetId="5">'Incidents'!$A$1:$O$17</definedName>
    <definedName name="_xlnm.Print_Area" localSheetId="6">'History'!$A$1:$O$15</definedName>
    <definedName name="_xlnm.Print_Area" localSheetId="7">'AI'!$A$1:$O$16</definedName>
    <definedName name="_xlnm.Print_Area" localSheetId="8">'Shared'!$A$1:$O$16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\-mmm\-yy;@"/>
    <numFmt numFmtId="165" formatCode="yyyy-mm-dd h:mm:ss"/>
  </numFmts>
  <fonts count="24">
    <font>
      <name val="ＭＳ Ｐゴシック"/>
      <charset val="128"/>
      <sz val="11"/>
    </font>
    <font>
      <name val="ＭＳ ゴシック"/>
      <charset val="128"/>
      <family val="3"/>
      <sz val="9"/>
    </font>
    <font>
      <name val="Tahoma"/>
      <family val="2"/>
      <sz val="10"/>
    </font>
    <font>
      <name val="Tahoma"/>
      <family val="2"/>
      <b val="1"/>
      <color indexed="10"/>
      <sz val="26"/>
    </font>
    <font>
      <name val="Tahoma"/>
      <family val="2"/>
      <b val="1"/>
      <color indexed="8"/>
      <sz val="20"/>
    </font>
    <font>
      <name val="Tahoma"/>
      <family val="2"/>
      <b val="1"/>
      <color indexed="60"/>
      <sz val="10"/>
    </font>
    <font>
      <name val="Tahoma"/>
      <family val="2"/>
      <i val="1"/>
      <color indexed="17"/>
      <sz val="10"/>
    </font>
    <font>
      <name val="Tahoma"/>
      <family val="2"/>
      <b val="1"/>
      <color indexed="9"/>
      <sz val="10"/>
    </font>
    <font>
      <name val="Tahoma"/>
      <family val="2"/>
      <b val="1"/>
      <color indexed="8"/>
      <sz val="10"/>
    </font>
    <font>
      <name val="Tahoma"/>
      <family val="2"/>
      <b val="1"/>
      <color indexed="10"/>
      <sz val="10"/>
    </font>
    <font>
      <name val="Tahoma"/>
      <family val="2"/>
      <b val="1"/>
      <sz val="10"/>
    </font>
    <font>
      <name val="Tahoma"/>
      <family val="2"/>
      <color indexed="12"/>
      <sz val="10"/>
      <u val="single"/>
    </font>
    <font>
      <name val="ＭＳ Ｐゴシック"/>
      <charset val="128"/>
      <family val="3"/>
      <color indexed="12"/>
      <sz val="11"/>
      <u val="single"/>
    </font>
    <font>
      <name val="Tahoma"/>
      <family val="2"/>
      <color indexed="10"/>
      <sz val="10"/>
    </font>
    <font>
      <name val="Tahoma"/>
      <family val="2"/>
      <color indexed="8"/>
      <sz val="10"/>
    </font>
    <font>
      <name val="Tahoma"/>
      <family val="2"/>
      <color indexed="9"/>
      <sz val="10"/>
    </font>
    <font>
      <name val="Tahoma"/>
      <family val="2"/>
      <b val="1"/>
      <color indexed="12"/>
      <sz val="10"/>
    </font>
    <font>
      <name val="ＭＳ Ｐゴシック"/>
      <charset val="128"/>
      <family val="2"/>
      <sz val="11"/>
    </font>
    <font>
      <name val="Tahoma"/>
      <family val="2"/>
      <b val="1"/>
      <i val="1"/>
      <sz val="10"/>
    </font>
    <font>
      <name val="Tahoma"/>
      <family val="2"/>
      <color rgb="FF000000"/>
      <sz val="8"/>
    </font>
    <font>
      <name val="ＭＳ Ｐゴシック"/>
      <charset val="128"/>
      <family val="3"/>
      <sz val="11"/>
    </font>
    <font>
      <name val="Tahoma"/>
      <family val="2"/>
      <i val="1"/>
      <sz val="10"/>
    </font>
    <font>
      <name val="Tahoma"/>
      <family val="2"/>
      <b val="1"/>
      <color indexed="81"/>
      <sz val="8"/>
    </font>
    <font>
      <name val="Tahoma"/>
      <family val="2"/>
      <color indexed="81"/>
      <sz val="8"/>
    </font>
  </fonts>
  <fills count="7">
    <fill>
      <patternFill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2" fillId="0" borderId="0"/>
    <xf numFmtId="0" fontId="17" fillId="0" borderId="0"/>
    <xf numFmtId="0" fontId="17" fillId="0" borderId="0"/>
    <xf numFmtId="0" fontId="1" fillId="0" borderId="0"/>
    <xf numFmtId="0" fontId="20" fillId="0" borderId="0"/>
  </cellStyleXfs>
  <cellXfs count="160">
    <xf numFmtId="0" fontId="0" fillId="0" borderId="0" pivotButton="0" quotePrefix="0" xfId="0"/>
    <xf numFmtId="0" fontId="2" fillId="2" borderId="0" pivotButton="0" quotePrefix="0" xfId="0"/>
    <xf numFmtId="0" fontId="5" fillId="2" borderId="1" applyAlignment="1" pivotButton="0" quotePrefix="0" xfId="0">
      <alignment horizontal="left" vertical="center"/>
    </xf>
    <xf numFmtId="1" fontId="2" fillId="2" borderId="0" pivotButton="0" quotePrefix="0" xfId="0"/>
    <xf numFmtId="0" fontId="2" fillId="2" borderId="0" applyAlignment="1" pivotButton="0" quotePrefix="0" xfId="0">
      <alignment horizontal="left"/>
    </xf>
    <xf numFmtId="1" fontId="2" fillId="2" borderId="0" applyProtection="1" pivotButton="0" quotePrefix="0" xfId="0">
      <protection locked="1" hidden="1"/>
    </xf>
    <xf numFmtId="0" fontId="4" fillId="2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9" fillId="2" borderId="0" applyAlignment="1" pivotButton="0" quotePrefix="0" xfId="0">
      <alignment horizontal="left"/>
    </xf>
    <xf numFmtId="0" fontId="2" fillId="2" borderId="0" applyAlignment="1" pivotButton="0" quotePrefix="0" xfId="0">
      <alignment wrapText="1"/>
    </xf>
    <xf numFmtId="1" fontId="5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1" fontId="2" fillId="2" borderId="0" applyAlignment="1" applyProtection="1" pivotButton="0" quotePrefix="0" xfId="0">
      <alignment vertical="center"/>
      <protection locked="1" hidden="1"/>
    </xf>
    <xf numFmtId="0" fontId="2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/>
    </xf>
    <xf numFmtId="1" fontId="7" fillId="4" borderId="3" applyAlignment="1" pivotButton="0" quotePrefix="0" xfId="0">
      <alignment horizontal="center" vertical="center"/>
    </xf>
    <xf numFmtId="0" fontId="7" fillId="4" borderId="4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1" fontId="2" fillId="2" borderId="6" applyAlignment="1" pivotButton="0" quotePrefix="0" xfId="0">
      <alignment vertical="center"/>
    </xf>
    <xf numFmtId="49" fontId="2" fillId="2" borderId="7" applyAlignment="1" pivotButton="0" quotePrefix="0" xfId="0">
      <alignment horizontal="left" vertical="center"/>
    </xf>
    <xf numFmtId="0" fontId="11" fillId="2" borderId="7" applyAlignment="1" pivotButton="0" quotePrefix="0" xfId="1">
      <alignment horizontal="left" vertical="center"/>
    </xf>
    <xf numFmtId="0" fontId="2" fillId="2" borderId="8" applyAlignment="1" pivotButton="0" quotePrefix="0" xfId="0">
      <alignment horizontal="left" vertical="center"/>
    </xf>
    <xf numFmtId="0" fontId="2" fillId="2" borderId="7" applyAlignment="1" pivotButton="0" quotePrefix="0" xfId="0">
      <alignment horizontal="left" vertical="center"/>
    </xf>
    <xf numFmtId="1" fontId="2" fillId="2" borderId="9" applyAlignment="1" pivotButton="0" quotePrefix="0" xfId="0">
      <alignment vertical="center"/>
    </xf>
    <xf numFmtId="49" fontId="2" fillId="2" borderId="10" applyAlignment="1" pivotButton="0" quotePrefix="0" xfId="0">
      <alignment horizontal="left" vertical="center"/>
    </xf>
    <xf numFmtId="0" fontId="2" fillId="2" borderId="10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2" fillId="2" borderId="0" pivotButton="0" quotePrefix="0" xfId="0"/>
    <xf numFmtId="0" fontId="13" fillId="2" borderId="0" pivotButton="0" quotePrefix="0" xfId="0"/>
    <xf numFmtId="0" fontId="13" fillId="2" borderId="0" applyAlignment="1" pivotButton="0" quotePrefix="0" xfId="0">
      <alignment wrapText="1"/>
    </xf>
    <xf numFmtId="0" fontId="14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13" fillId="2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wrapText="1"/>
    </xf>
    <xf numFmtId="0" fontId="9" fillId="2" borderId="0" applyAlignment="1" pivotButton="0" quotePrefix="0" xfId="3">
      <alignment horizontal="center" vertical="center" wrapText="1"/>
    </xf>
    <xf numFmtId="0" fontId="10" fillId="5" borderId="13" applyAlignment="1" pivotButton="0" quotePrefix="0" xfId="3">
      <alignment horizontal="left" vertical="center"/>
    </xf>
    <xf numFmtId="0" fontId="10" fillId="5" borderId="14" applyAlignment="1" pivotButton="0" quotePrefix="0" xfId="3">
      <alignment horizontal="left" vertical="center"/>
    </xf>
    <xf numFmtId="0" fontId="10" fillId="5" borderId="2" applyAlignment="1" pivotButton="0" quotePrefix="0" xfId="3">
      <alignment horizontal="left" vertical="center"/>
    </xf>
    <xf numFmtId="0" fontId="9" fillId="2" borderId="0" applyAlignment="1" pivotButton="0" quotePrefix="0" xfId="3">
      <alignment horizontal="left" vertical="center"/>
    </xf>
    <xf numFmtId="0" fontId="2" fillId="2" borderId="1" applyAlignment="1" pivotButton="0" quotePrefix="0" xfId="3">
      <alignment vertical="top" wrapText="1"/>
    </xf>
    <xf numFmtId="0" fontId="6" fillId="2" borderId="1" applyAlignment="1" pivotButton="0" quotePrefix="0" xfId="3">
      <alignment vertical="top" wrapText="1"/>
    </xf>
    <xf numFmtId="0" fontId="6" fillId="2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vertical="top" wrapText="1"/>
    </xf>
    <xf numFmtId="0" fontId="13" fillId="2" borderId="0" applyAlignment="1" pivotButton="0" quotePrefix="0" xfId="0">
      <alignment vertical="top" wrapText="1"/>
    </xf>
    <xf numFmtId="0" fontId="14" fillId="2" borderId="0" applyAlignment="1" pivotButton="0" quotePrefix="0" xfId="0">
      <alignment vertical="top"/>
    </xf>
    <xf numFmtId="0" fontId="14" fillId="2" borderId="1" applyAlignment="1" pivotButton="0" quotePrefix="0" xfId="0">
      <alignment horizontal="left" vertical="top" wrapText="1"/>
    </xf>
    <xf numFmtId="0" fontId="2" fillId="2" borderId="1" pivotButton="0" quotePrefix="0" xfId="0"/>
    <xf numFmtId="0" fontId="2" fillId="2" borderId="1" pivotButton="0" quotePrefix="0" xfId="0"/>
    <xf numFmtId="0" fontId="13" fillId="2" borderId="0" pivotButton="0" quotePrefix="0" xfId="0"/>
    <xf numFmtId="0" fontId="10" fillId="2" borderId="0" pivotButton="0" quotePrefix="0" xfId="2"/>
    <xf numFmtId="0" fontId="2" fillId="2" borderId="0" pivotButton="0" quotePrefix="0" xfId="2"/>
    <xf numFmtId="164" fontId="2" fillId="2" borderId="0" pivotButton="0" quotePrefix="0" xfId="2"/>
    <xf numFmtId="0" fontId="5" fillId="2" borderId="2" applyAlignment="1" pivotButton="0" quotePrefix="0" xfId="0">
      <alignment horizontal="left"/>
    </xf>
    <xf numFmtId="0" fontId="2" fillId="2" borderId="2" applyAlignment="1" pivotButton="0" quotePrefix="0" xfId="0">
      <alignment vertical="top"/>
    </xf>
    <xf numFmtId="0" fontId="5" fillId="2" borderId="1" applyAlignment="1" pivotButton="0" quotePrefix="0" xfId="0">
      <alignment vertical="center"/>
    </xf>
    <xf numFmtId="0" fontId="6" fillId="2" borderId="2" applyAlignment="1" pivotButton="0" quotePrefix="0" xfId="0">
      <alignment vertical="top"/>
    </xf>
    <xf numFmtId="0" fontId="5" fillId="2" borderId="0" pivotButton="0" quotePrefix="0" xfId="0"/>
    <xf numFmtId="0" fontId="6" fillId="2" borderId="0" pivotButton="0" quotePrefix="0" xfId="2"/>
    <xf numFmtId="0" fontId="2" fillId="2" borderId="0" pivotButton="0" quotePrefix="0" xfId="0"/>
    <xf numFmtId="0" fontId="2" fillId="2" borderId="15" pivotButton="0" quotePrefix="0" xfId="0"/>
    <xf numFmtId="0" fontId="7" fillId="3" borderId="16" applyAlignment="1" pivotButton="0" quotePrefix="0" xfId="0">
      <alignment horizontal="center"/>
    </xf>
    <xf numFmtId="0" fontId="7" fillId="3" borderId="4" applyAlignment="1" pivotButton="0" quotePrefix="0" xfId="0">
      <alignment horizontal="center"/>
    </xf>
    <xf numFmtId="0" fontId="7" fillId="3" borderId="4" applyAlignment="1" pivotButton="0" quotePrefix="0" xfId="0">
      <alignment horizontal="center" wrapText="1"/>
    </xf>
    <xf numFmtId="0" fontId="7" fillId="3" borderId="12" applyAlignment="1" pivotButton="0" quotePrefix="0" xfId="0">
      <alignment horizontal="center"/>
    </xf>
    <xf numFmtId="0" fontId="7" fillId="3" borderId="17" applyAlignment="1" pivotButton="0" quotePrefix="0" xfId="0">
      <alignment horizontal="center" wrapText="1"/>
    </xf>
    <xf numFmtId="0" fontId="2" fillId="2" borderId="15" pivotButton="0" quotePrefix="0" xfId="0"/>
    <xf numFmtId="0" fontId="2" fillId="2" borderId="18" applyAlignment="1" pivotButton="0" quotePrefix="0" xfId="0">
      <alignment horizontal="center"/>
    </xf>
    <xf numFmtId="0" fontId="2" fillId="2" borderId="7" pivotButton="0" quotePrefix="0" xfId="0"/>
    <xf numFmtId="0" fontId="2" fillId="2" borderId="7" applyAlignment="1" pivotButton="0" quotePrefix="0" xfId="0">
      <alignment horizontal="center"/>
    </xf>
    <xf numFmtId="0" fontId="2" fillId="2" borderId="19" applyAlignment="1" pivotButton="0" quotePrefix="0" xfId="0">
      <alignment horizontal="center"/>
    </xf>
    <xf numFmtId="0" fontId="2" fillId="2" borderId="20" applyAlignment="1" pivotButton="0" quotePrefix="0" xfId="0">
      <alignment horizontal="center"/>
    </xf>
    <xf numFmtId="0" fontId="15" fillId="3" borderId="21" applyAlignment="1" pivotButton="0" quotePrefix="0" xfId="0">
      <alignment horizontal="center"/>
    </xf>
    <xf numFmtId="0" fontId="7" fillId="3" borderId="10" pivotButton="0" quotePrefix="0" xfId="0"/>
    <xf numFmtId="0" fontId="15" fillId="3" borderId="10" applyAlignment="1" pivotButton="0" quotePrefix="0" xfId="0">
      <alignment horizontal="center"/>
    </xf>
    <xf numFmtId="0" fontId="15" fillId="3" borderId="2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10" fontId="2" fillId="2" borderId="0" applyAlignment="1" pivotButton="0" quotePrefix="0" xfId="0">
      <alignment horizontal="center"/>
    </xf>
    <xf numFmtId="9" fontId="2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2" fontId="16" fillId="2" borderId="0" applyAlignment="1" pivotButton="0" quotePrefix="0" xfId="0">
      <alignment horizontal="right" wrapText="1"/>
    </xf>
    <xf numFmtId="0" fontId="6" fillId="2" borderId="0" applyAlignment="1" pivotButton="0" quotePrefix="0" xfId="3">
      <alignment horizontal="left" wrapText="1"/>
    </xf>
    <xf numFmtId="0" fontId="8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10" fillId="5" borderId="23" applyAlignment="1" pivotButton="0" quotePrefix="0" xfId="3">
      <alignment horizontal="left" vertical="center"/>
    </xf>
    <xf numFmtId="0" fontId="10" fillId="5" borderId="24" applyAlignment="1" pivotButton="0" quotePrefix="0" xfId="3">
      <alignment horizontal="left" vertical="center"/>
    </xf>
    <xf numFmtId="0" fontId="10" fillId="5" borderId="25" applyAlignment="1" pivotButton="0" quotePrefix="0" xfId="3">
      <alignment horizontal="left" vertical="center"/>
    </xf>
    <xf numFmtId="0" fontId="6" fillId="2" borderId="0" applyAlignment="1" pivotButton="0" quotePrefix="0" xfId="3">
      <alignment wrapText="1"/>
    </xf>
    <xf numFmtId="0" fontId="7" fillId="6" borderId="26" applyAlignment="1" pivotButton="0" quotePrefix="0" xfId="3">
      <alignment horizontal="center" vertical="center" wrapText="1"/>
    </xf>
    <xf numFmtId="0" fontId="18" fillId="2" borderId="26" applyAlignment="1" pivotButton="0" quotePrefix="0" xfId="3">
      <alignment horizontal="center" vertical="top" wrapText="1"/>
    </xf>
    <xf numFmtId="0" fontId="2" fillId="2" borderId="26" applyAlignment="1" pivotButton="0" quotePrefix="0" xfId="3">
      <alignment horizontal="center" vertical="top" wrapText="1"/>
    </xf>
    <xf numFmtId="0" fontId="18" fillId="2" borderId="30" applyAlignment="1" pivotButton="0" quotePrefix="0" xfId="3">
      <alignment horizontal="center" vertical="top" wrapText="1"/>
    </xf>
    <xf numFmtId="0" fontId="18" fillId="2" borderId="31" applyAlignment="1" pivotButton="0" quotePrefix="0" xfId="3">
      <alignment horizontal="center" vertical="top" wrapText="1"/>
    </xf>
    <xf numFmtId="0" fontId="18" fillId="2" borderId="32" applyAlignment="1" pivotButton="0" quotePrefix="0" xfId="3">
      <alignment horizontal="center" vertical="top" wrapText="1"/>
    </xf>
    <xf numFmtId="0" fontId="2" fillId="2" borderId="33" applyAlignment="1" pivotButton="0" quotePrefix="0" xfId="3">
      <alignment horizontal="center" vertical="top" wrapText="1"/>
    </xf>
    <xf numFmtId="0" fontId="2" fillId="2" borderId="34" applyAlignment="1" pivotButton="0" quotePrefix="0" xfId="3">
      <alignment horizontal="center" vertical="top" wrapText="1"/>
    </xf>
    <xf numFmtId="0" fontId="2" fillId="2" borderId="31" applyAlignment="1" pivotButton="0" quotePrefix="0" xfId="3">
      <alignment horizontal="center" vertical="top" wrapText="1"/>
    </xf>
    <xf numFmtId="0" fontId="10" fillId="2" borderId="27" applyAlignment="1" pivotButton="0" quotePrefix="0" xfId="3">
      <alignment horizontal="center" vertical="top" wrapText="1"/>
    </xf>
    <xf numFmtId="0" fontId="10" fillId="2" borderId="30" applyAlignment="1" pivotButton="0" quotePrefix="0" xfId="3">
      <alignment horizontal="center" vertical="top" wrapText="1"/>
    </xf>
    <xf numFmtId="0" fontId="12" fillId="2" borderId="7" applyAlignment="1" pivotButton="0" quotePrefix="0" xfId="1">
      <alignment horizontal="left" vertical="center"/>
    </xf>
    <xf numFmtId="1" fontId="5" fillId="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top" wrapText="1"/>
    </xf>
    <xf numFmtId="1" fontId="5" fillId="2" borderId="13" pivotButton="0" quotePrefix="0" xfId="0"/>
    <xf numFmtId="0" fontId="6" fillId="2" borderId="1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0" fontId="6" fillId="2" borderId="1" applyAlignment="1" pivotButton="0" quotePrefix="0" xfId="2">
      <alignment vertical="top"/>
    </xf>
    <xf numFmtId="0" fontId="4" fillId="2" borderId="0" applyAlignment="1" pivotButton="0" quotePrefix="0" xfId="2">
      <alignment horizontal="center"/>
    </xf>
    <xf numFmtId="0" fontId="2" fillId="2" borderId="28" applyAlignment="1" pivotButton="0" quotePrefix="0" xfId="3">
      <alignment horizontal="left" vertical="top" wrapText="1"/>
    </xf>
    <xf numFmtId="0" fontId="2" fillId="2" borderId="29" applyAlignment="1" pivotButton="0" quotePrefix="0" xfId="3">
      <alignment horizontal="left" vertical="top" wrapText="1"/>
    </xf>
    <xf numFmtId="0" fontId="2" fillId="2" borderId="26" applyAlignment="1" pivotButton="0" quotePrefix="0" xfId="3">
      <alignment horizontal="left" vertical="top" wrapText="1"/>
    </xf>
    <xf numFmtId="0" fontId="2" fillId="2" borderId="31" applyAlignment="1" pivotButton="0" quotePrefix="0" xfId="3">
      <alignment horizontal="left" vertical="top" wrapText="1"/>
    </xf>
    <xf numFmtId="0" fontId="3" fillId="0" borderId="13" applyAlignment="1" pivotButton="0" quotePrefix="0" xfId="5">
      <alignment horizontal="center" vertical="center"/>
    </xf>
    <xf numFmtId="0" fontId="4" fillId="0" borderId="1" applyAlignment="1" pivotButton="0" quotePrefix="0" xfId="5">
      <alignment horizontal="center" vertical="center"/>
    </xf>
    <xf numFmtId="0" fontId="2" fillId="0" borderId="0" applyAlignment="1" pivotButton="0" quotePrefix="0" xfId="5">
      <alignment horizontal="center" vertical="center"/>
    </xf>
    <xf numFmtId="0" fontId="5" fillId="2" borderId="0" applyAlignment="1" pivotButton="0" quotePrefix="0" xfId="5">
      <alignment horizontal="left" indent="1"/>
    </xf>
    <xf numFmtId="0" fontId="6" fillId="0" borderId="0" applyAlignment="1" pivotButton="0" quotePrefix="0" xfId="5">
      <alignment horizontal="left" indent="1"/>
    </xf>
    <xf numFmtId="0" fontId="2" fillId="0" borderId="0" pivotButton="0" quotePrefix="0" xfId="5"/>
    <xf numFmtId="0" fontId="2" fillId="2" borderId="0" pivotButton="0" quotePrefix="0" xfId="5"/>
    <xf numFmtId="0" fontId="10" fillId="2" borderId="1" applyAlignment="1" pivotButton="0" quotePrefix="0" xfId="5">
      <alignment horizontal="left"/>
    </xf>
    <xf numFmtId="0" fontId="21" fillId="0" borderId="1" applyAlignment="1" pivotButton="0" quotePrefix="0" xfId="5">
      <alignment horizontal="left"/>
    </xf>
    <xf numFmtId="0" fontId="2" fillId="0" borderId="2" pivotButton="0" quotePrefix="0" xfId="5"/>
    <xf numFmtId="0" fontId="21" fillId="0" borderId="2" pivotButton="0" quotePrefix="0" xfId="5"/>
    <xf numFmtId="0" fontId="10" fillId="2" borderId="1" applyAlignment="1" pivotButton="0" quotePrefix="0" xfId="5">
      <alignment vertical="center"/>
    </xf>
    <xf numFmtId="0" fontId="21" fillId="0" borderId="13" applyAlignment="1" pivotButton="0" quotePrefix="0" xfId="5">
      <alignment horizontal="left" vertical="center"/>
    </xf>
    <xf numFmtId="0" fontId="21" fillId="0" borderId="14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vertical="center"/>
    </xf>
    <xf numFmtId="0" fontId="21" fillId="0" borderId="2" applyAlignment="1" pivotButton="0" quotePrefix="0" xfId="5">
      <alignment horizontal="left" indent="1"/>
    </xf>
    <xf numFmtId="0" fontId="10" fillId="0" borderId="0" pivotButton="0" quotePrefix="0" xfId="5"/>
    <xf numFmtId="0" fontId="6" fillId="0" borderId="0" applyAlignment="1" pivotButton="0" quotePrefix="0" xfId="5">
      <alignment horizontal="left"/>
    </xf>
    <xf numFmtId="0" fontId="5" fillId="0" borderId="0" applyAlignment="1" pivotButton="0" quotePrefix="0" xfId="5">
      <alignment horizontal="left" indent="1"/>
    </xf>
    <xf numFmtId="0" fontId="10" fillId="0" borderId="0" applyAlignment="1" pivotButton="0" quotePrefix="0" xfId="5">
      <alignment horizontal="left"/>
    </xf>
    <xf numFmtId="164" fontId="7" fillId="3" borderId="3" applyAlignment="1" pivotButton="0" quotePrefix="0" xfId="5">
      <alignment horizontal="center" vertical="center"/>
    </xf>
    <xf numFmtId="0" fontId="7" fillId="3" borderId="4" applyAlignment="1" pivotButton="0" quotePrefix="0" xfId="5">
      <alignment horizontal="center" vertical="center"/>
    </xf>
    <xf numFmtId="0" fontId="7" fillId="3" borderId="5" applyAlignment="1" pivotButton="0" quotePrefix="0" xfId="5">
      <alignment horizontal="center" vertical="center"/>
    </xf>
    <xf numFmtId="0" fontId="2" fillId="0" borderId="0" applyAlignment="1" pivotButton="0" quotePrefix="0" xfId="5">
      <alignment vertical="center"/>
    </xf>
    <xf numFmtId="0" fontId="21" fillId="0" borderId="6" applyAlignment="1" pivotButton="0" quotePrefix="0" xfId="5">
      <alignment vertical="top" wrapText="1"/>
    </xf>
    <xf numFmtId="49" fontId="2" fillId="0" borderId="7" applyAlignment="1" pivotButton="0" quotePrefix="0" xfId="5">
      <alignment vertical="top"/>
    </xf>
    <xf numFmtId="0" fontId="2" fillId="0" borderId="7" applyAlignment="1" pivotButton="0" quotePrefix="0" xfId="5">
      <alignment vertical="top"/>
    </xf>
    <xf numFmtId="15" fontId="2" fillId="0" borderId="7" applyAlignment="1" pivotButton="0" quotePrefix="0" xfId="5">
      <alignment vertical="top"/>
    </xf>
    <xf numFmtId="0" fontId="21" fillId="0" borderId="8" applyAlignment="1" pivotButton="0" quotePrefix="0" xfId="5">
      <alignment vertical="top" wrapText="1"/>
    </xf>
    <xf numFmtId="0" fontId="2" fillId="0" borderId="0" applyAlignment="1" pivotButton="0" quotePrefix="0" xfId="5">
      <alignment vertical="top"/>
    </xf>
    <xf numFmtId="164" fontId="2" fillId="0" borderId="6" applyAlignment="1" pivotButton="0" quotePrefix="0" xfId="5">
      <alignment vertical="top"/>
    </xf>
    <xf numFmtId="0" fontId="2" fillId="0" borderId="8" applyAlignment="1" pivotButton="0" quotePrefix="0" xfId="5">
      <alignment vertical="top"/>
    </xf>
    <xf numFmtId="164" fontId="2" fillId="0" borderId="9" applyAlignment="1" pivotButton="0" quotePrefix="0" xfId="5">
      <alignment vertical="top"/>
    </xf>
    <xf numFmtId="49" fontId="2" fillId="0" borderId="10" applyAlignment="1" pivotButton="0" quotePrefix="0" xfId="5">
      <alignment vertical="top"/>
    </xf>
    <xf numFmtId="0" fontId="2" fillId="0" borderId="10" applyAlignment="1" pivotButton="0" quotePrefix="0" xfId="5">
      <alignment vertical="top"/>
    </xf>
    <xf numFmtId="0" fontId="2" fillId="0" borderId="11" applyAlignment="1" pivotButton="0" quotePrefix="0" xfId="5">
      <alignment vertical="top"/>
    </xf>
    <xf numFmtId="0" fontId="2" fillId="0" borderId="0" applyAlignment="1" pivotButton="0" quotePrefix="0" xfId="5">
      <alignment horizontal="left" indent="1"/>
    </xf>
    <xf numFmtId="0" fontId="0" fillId="0" borderId="14" pivotButton="0" quotePrefix="0" xfId="0"/>
    <xf numFmtId="0" fontId="0" fillId="0" borderId="2" pivotButton="0" quotePrefix="0" xfId="0"/>
    <xf numFmtId="165" fontId="21" fillId="0" borderId="2" pivotButton="0" quotePrefix="0" xfId="5"/>
    <xf numFmtId="0" fontId="21" fillId="0" borderId="1" applyAlignment="1" pivotButton="0" quotePrefix="0" xfId="5">
      <alignment horizontal="left" vertical="center"/>
    </xf>
    <xf numFmtId="165" fontId="21" fillId="0" borderId="6" applyAlignment="1" pivotButton="0" quotePrefix="0" xfId="5">
      <alignment vertical="top" wrapText="1"/>
    </xf>
    <xf numFmtId="165" fontId="6" fillId="2" borderId="2" applyAlignment="1" pivotButton="0" quotePrefix="0" xfId="0">
      <alignment vertical="top"/>
    </xf>
    <xf numFmtId="0" fontId="0" fillId="0" borderId="39" pivotButton="0" quotePrefix="0" xfId="0"/>
    <xf numFmtId="0" fontId="0" fillId="0" borderId="40" pivotButton="0" quotePrefix="0" xfId="0"/>
    <xf numFmtId="0" fontId="0" fillId="0" borderId="43" pivotButton="0" quotePrefix="0" xfId="0"/>
    <xf numFmtId="0" fontId="0" fillId="0" borderId="44" pivotButton="0" quotePrefix="0" xfId="0"/>
  </cellXfs>
  <cellStyles count="6">
    <cellStyle name="Normal" xfId="0" builtinId="0"/>
    <cellStyle name="Hyperlink" xfId="1" builtinId="8"/>
    <cellStyle name="Normal_Functional Test Case v1.0" xfId="2"/>
    <cellStyle name="Normal_Sheet1" xfId="3"/>
    <cellStyle name="標準_結合試験(AllOvertheWorld)" xfId="4"/>
    <cellStyle name="Normal_Template_UnitTest Case_v0.9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None</author>
  </authors>
  <commentList>
    <comment ref="D10" authorId="0" shapeId="0">
      <text>
        <t xml:space="preserve">*A: Add
  M: Modify
  D: Delete
</t>
      </text>
    </comment>
  </commentList>
</comments>
</file>

<file path=xl/comments/comment2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tqsang</author>
  </authors>
  <commentList>
    <comment ref="E10" authorId="0" shapeId="0">
      <text>
        <t>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</row>
      <rowOff>88900</rowOff>
    </from>
    <to>
      <col>0</col>
      <colOff>2133600</colOff>
      <row>1</row>
      <rowOff>787400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54000"/>
          <a:ext cx="2133600" cy="6985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Report5_Unit%20Test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uideline"/>
      <sheetName val="Cover"/>
      <sheetName val="Function List"/>
      <sheetName val="Test Report"/>
      <sheetName val="Function 1"/>
      <sheetName val="Function 2"/>
      <sheetName val="Function3"/>
      <sheetName val="Ex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7"/>
  <sheetViews>
    <sheetView showGridLines="0" tabSelected="1" workbookViewId="0">
      <selection activeCell="B3" sqref="B3"/>
    </sheetView>
  </sheetViews>
  <sheetFormatPr baseColWidth="10" defaultColWidth="9" defaultRowHeight="13"/>
  <cols>
    <col width="28.1640625" customWidth="1" style="149" min="1" max="1"/>
    <col width="10" customWidth="1" style="118" min="2" max="2"/>
    <col width="14.33203125" customWidth="1" style="118" min="3" max="3"/>
    <col width="8" customWidth="1" style="118" min="4" max="4"/>
    <col width="38" customWidth="1" style="118" min="5" max="5"/>
    <col width="48.1640625" customWidth="1" style="118" min="6" max="6"/>
    <col width="9" customWidth="1" style="118" min="7" max="256"/>
    <col width="28.1640625" customWidth="1" style="118" min="257" max="257"/>
    <col width="10" customWidth="1" style="118" min="258" max="258"/>
    <col width="14.33203125" customWidth="1" style="118" min="259" max="259"/>
    <col width="8" customWidth="1" style="118" min="260" max="260"/>
    <col width="38" customWidth="1" style="118" min="261" max="261"/>
    <col width="48.1640625" customWidth="1" style="118" min="262" max="262"/>
    <col width="9" customWidth="1" style="118" min="263" max="512"/>
    <col width="28.1640625" customWidth="1" style="118" min="513" max="513"/>
    <col width="10" customWidth="1" style="118" min="514" max="514"/>
    <col width="14.33203125" customWidth="1" style="118" min="515" max="515"/>
    <col width="8" customWidth="1" style="118" min="516" max="516"/>
    <col width="38" customWidth="1" style="118" min="517" max="517"/>
    <col width="48.1640625" customWidth="1" style="118" min="518" max="518"/>
    <col width="9" customWidth="1" style="118" min="519" max="768"/>
    <col width="28.1640625" customWidth="1" style="118" min="769" max="769"/>
    <col width="10" customWidth="1" style="118" min="770" max="770"/>
    <col width="14.33203125" customWidth="1" style="118" min="771" max="771"/>
    <col width="8" customWidth="1" style="118" min="772" max="772"/>
    <col width="38" customWidth="1" style="118" min="773" max="773"/>
    <col width="48.1640625" customWidth="1" style="118" min="774" max="774"/>
    <col width="9" customWidth="1" style="118" min="775" max="1024"/>
    <col width="28.1640625" customWidth="1" style="118" min="1025" max="1025"/>
    <col width="10" customWidth="1" style="118" min="1026" max="1026"/>
    <col width="14.33203125" customWidth="1" style="118" min="1027" max="1027"/>
    <col width="8" customWidth="1" style="118" min="1028" max="1028"/>
    <col width="38" customWidth="1" style="118" min="1029" max="1029"/>
    <col width="48.1640625" customWidth="1" style="118" min="1030" max="1030"/>
    <col width="9" customWidth="1" style="118" min="1031" max="1280"/>
    <col width="28.1640625" customWidth="1" style="118" min="1281" max="1281"/>
    <col width="10" customWidth="1" style="118" min="1282" max="1282"/>
    <col width="14.33203125" customWidth="1" style="118" min="1283" max="1283"/>
    <col width="8" customWidth="1" style="118" min="1284" max="1284"/>
    <col width="38" customWidth="1" style="118" min="1285" max="1285"/>
    <col width="48.1640625" customWidth="1" style="118" min="1286" max="1286"/>
    <col width="9" customWidth="1" style="118" min="1287" max="1536"/>
    <col width="28.1640625" customWidth="1" style="118" min="1537" max="1537"/>
    <col width="10" customWidth="1" style="118" min="1538" max="1538"/>
    <col width="14.33203125" customWidth="1" style="118" min="1539" max="1539"/>
    <col width="8" customWidth="1" style="118" min="1540" max="1540"/>
    <col width="38" customWidth="1" style="118" min="1541" max="1541"/>
    <col width="48.1640625" customWidth="1" style="118" min="1542" max="1542"/>
    <col width="9" customWidth="1" style="118" min="1543" max="1792"/>
    <col width="28.1640625" customWidth="1" style="118" min="1793" max="1793"/>
    <col width="10" customWidth="1" style="118" min="1794" max="1794"/>
    <col width="14.33203125" customWidth="1" style="118" min="1795" max="1795"/>
    <col width="8" customWidth="1" style="118" min="1796" max="1796"/>
    <col width="38" customWidth="1" style="118" min="1797" max="1797"/>
    <col width="48.1640625" customWidth="1" style="118" min="1798" max="1798"/>
    <col width="9" customWidth="1" style="118" min="1799" max="2048"/>
    <col width="28.1640625" customWidth="1" style="118" min="2049" max="2049"/>
    <col width="10" customWidth="1" style="118" min="2050" max="2050"/>
    <col width="14.33203125" customWidth="1" style="118" min="2051" max="2051"/>
    <col width="8" customWidth="1" style="118" min="2052" max="2052"/>
    <col width="38" customWidth="1" style="118" min="2053" max="2053"/>
    <col width="48.1640625" customWidth="1" style="118" min="2054" max="2054"/>
    <col width="9" customWidth="1" style="118" min="2055" max="2304"/>
    <col width="28.1640625" customWidth="1" style="118" min="2305" max="2305"/>
    <col width="10" customWidth="1" style="118" min="2306" max="2306"/>
    <col width="14.33203125" customWidth="1" style="118" min="2307" max="2307"/>
    <col width="8" customWidth="1" style="118" min="2308" max="2308"/>
    <col width="38" customWidth="1" style="118" min="2309" max="2309"/>
    <col width="48.1640625" customWidth="1" style="118" min="2310" max="2310"/>
    <col width="9" customWidth="1" style="118" min="2311" max="2560"/>
    <col width="28.1640625" customWidth="1" style="118" min="2561" max="2561"/>
    <col width="10" customWidth="1" style="118" min="2562" max="2562"/>
    <col width="14.33203125" customWidth="1" style="118" min="2563" max="2563"/>
    <col width="8" customWidth="1" style="118" min="2564" max="2564"/>
    <col width="38" customWidth="1" style="118" min="2565" max="2565"/>
    <col width="48.1640625" customWidth="1" style="118" min="2566" max="2566"/>
    <col width="9" customWidth="1" style="118" min="2567" max="2816"/>
    <col width="28.1640625" customWidth="1" style="118" min="2817" max="2817"/>
    <col width="10" customWidth="1" style="118" min="2818" max="2818"/>
    <col width="14.33203125" customWidth="1" style="118" min="2819" max="2819"/>
    <col width="8" customWidth="1" style="118" min="2820" max="2820"/>
    <col width="38" customWidth="1" style="118" min="2821" max="2821"/>
    <col width="48.1640625" customWidth="1" style="118" min="2822" max="2822"/>
    <col width="9" customWidth="1" style="118" min="2823" max="3072"/>
    <col width="28.1640625" customWidth="1" style="118" min="3073" max="3073"/>
    <col width="10" customWidth="1" style="118" min="3074" max="3074"/>
    <col width="14.33203125" customWidth="1" style="118" min="3075" max="3075"/>
    <col width="8" customWidth="1" style="118" min="3076" max="3076"/>
    <col width="38" customWidth="1" style="118" min="3077" max="3077"/>
    <col width="48.1640625" customWidth="1" style="118" min="3078" max="3078"/>
    <col width="9" customWidth="1" style="118" min="3079" max="3328"/>
    <col width="28.1640625" customWidth="1" style="118" min="3329" max="3329"/>
    <col width="10" customWidth="1" style="118" min="3330" max="3330"/>
    <col width="14.33203125" customWidth="1" style="118" min="3331" max="3331"/>
    <col width="8" customWidth="1" style="118" min="3332" max="3332"/>
    <col width="38" customWidth="1" style="118" min="3333" max="3333"/>
    <col width="48.1640625" customWidth="1" style="118" min="3334" max="3334"/>
    <col width="9" customWidth="1" style="118" min="3335" max="3584"/>
    <col width="28.1640625" customWidth="1" style="118" min="3585" max="3585"/>
    <col width="10" customWidth="1" style="118" min="3586" max="3586"/>
    <col width="14.33203125" customWidth="1" style="118" min="3587" max="3587"/>
    <col width="8" customWidth="1" style="118" min="3588" max="3588"/>
    <col width="38" customWidth="1" style="118" min="3589" max="3589"/>
    <col width="48.1640625" customWidth="1" style="118" min="3590" max="3590"/>
    <col width="9" customWidth="1" style="118" min="3591" max="3840"/>
    <col width="28.1640625" customWidth="1" style="118" min="3841" max="3841"/>
    <col width="10" customWidth="1" style="118" min="3842" max="3842"/>
    <col width="14.33203125" customWidth="1" style="118" min="3843" max="3843"/>
    <col width="8" customWidth="1" style="118" min="3844" max="3844"/>
    <col width="38" customWidth="1" style="118" min="3845" max="3845"/>
    <col width="48.1640625" customWidth="1" style="118" min="3846" max="3846"/>
    <col width="9" customWidth="1" style="118" min="3847" max="4096"/>
    <col width="28.1640625" customWidth="1" style="118" min="4097" max="4097"/>
    <col width="10" customWidth="1" style="118" min="4098" max="4098"/>
    <col width="14.33203125" customWidth="1" style="118" min="4099" max="4099"/>
    <col width="8" customWidth="1" style="118" min="4100" max="4100"/>
    <col width="38" customWidth="1" style="118" min="4101" max="4101"/>
    <col width="48.1640625" customWidth="1" style="118" min="4102" max="4102"/>
    <col width="9" customWidth="1" style="118" min="4103" max="4352"/>
    <col width="28.1640625" customWidth="1" style="118" min="4353" max="4353"/>
    <col width="10" customWidth="1" style="118" min="4354" max="4354"/>
    <col width="14.33203125" customWidth="1" style="118" min="4355" max="4355"/>
    <col width="8" customWidth="1" style="118" min="4356" max="4356"/>
    <col width="38" customWidth="1" style="118" min="4357" max="4357"/>
    <col width="48.1640625" customWidth="1" style="118" min="4358" max="4358"/>
    <col width="9" customWidth="1" style="118" min="4359" max="4608"/>
    <col width="28.1640625" customWidth="1" style="118" min="4609" max="4609"/>
    <col width="10" customWidth="1" style="118" min="4610" max="4610"/>
    <col width="14.33203125" customWidth="1" style="118" min="4611" max="4611"/>
    <col width="8" customWidth="1" style="118" min="4612" max="4612"/>
    <col width="38" customWidth="1" style="118" min="4613" max="4613"/>
    <col width="48.1640625" customWidth="1" style="118" min="4614" max="4614"/>
    <col width="9" customWidth="1" style="118" min="4615" max="4864"/>
    <col width="28.1640625" customWidth="1" style="118" min="4865" max="4865"/>
    <col width="10" customWidth="1" style="118" min="4866" max="4866"/>
    <col width="14.33203125" customWidth="1" style="118" min="4867" max="4867"/>
    <col width="8" customWidth="1" style="118" min="4868" max="4868"/>
    <col width="38" customWidth="1" style="118" min="4869" max="4869"/>
    <col width="48.1640625" customWidth="1" style="118" min="4870" max="4870"/>
    <col width="9" customWidth="1" style="118" min="4871" max="5120"/>
    <col width="28.1640625" customWidth="1" style="118" min="5121" max="5121"/>
    <col width="10" customWidth="1" style="118" min="5122" max="5122"/>
    <col width="14.33203125" customWidth="1" style="118" min="5123" max="5123"/>
    <col width="8" customWidth="1" style="118" min="5124" max="5124"/>
    <col width="38" customWidth="1" style="118" min="5125" max="5125"/>
    <col width="48.1640625" customWidth="1" style="118" min="5126" max="5126"/>
    <col width="9" customWidth="1" style="118" min="5127" max="5376"/>
    <col width="28.1640625" customWidth="1" style="118" min="5377" max="5377"/>
    <col width="10" customWidth="1" style="118" min="5378" max="5378"/>
    <col width="14.33203125" customWidth="1" style="118" min="5379" max="5379"/>
    <col width="8" customWidth="1" style="118" min="5380" max="5380"/>
    <col width="38" customWidth="1" style="118" min="5381" max="5381"/>
    <col width="48.1640625" customWidth="1" style="118" min="5382" max="5382"/>
    <col width="9" customWidth="1" style="118" min="5383" max="5632"/>
    <col width="28.1640625" customWidth="1" style="118" min="5633" max="5633"/>
    <col width="10" customWidth="1" style="118" min="5634" max="5634"/>
    <col width="14.33203125" customWidth="1" style="118" min="5635" max="5635"/>
    <col width="8" customWidth="1" style="118" min="5636" max="5636"/>
    <col width="38" customWidth="1" style="118" min="5637" max="5637"/>
    <col width="48.1640625" customWidth="1" style="118" min="5638" max="5638"/>
    <col width="9" customWidth="1" style="118" min="5639" max="5888"/>
    <col width="28.1640625" customWidth="1" style="118" min="5889" max="5889"/>
    <col width="10" customWidth="1" style="118" min="5890" max="5890"/>
    <col width="14.33203125" customWidth="1" style="118" min="5891" max="5891"/>
    <col width="8" customWidth="1" style="118" min="5892" max="5892"/>
    <col width="38" customWidth="1" style="118" min="5893" max="5893"/>
    <col width="48.1640625" customWidth="1" style="118" min="5894" max="5894"/>
    <col width="9" customWidth="1" style="118" min="5895" max="6144"/>
    <col width="28.1640625" customWidth="1" style="118" min="6145" max="6145"/>
    <col width="10" customWidth="1" style="118" min="6146" max="6146"/>
    <col width="14.33203125" customWidth="1" style="118" min="6147" max="6147"/>
    <col width="8" customWidth="1" style="118" min="6148" max="6148"/>
    <col width="38" customWidth="1" style="118" min="6149" max="6149"/>
    <col width="48.1640625" customWidth="1" style="118" min="6150" max="6150"/>
    <col width="9" customWidth="1" style="118" min="6151" max="6400"/>
    <col width="28.1640625" customWidth="1" style="118" min="6401" max="6401"/>
    <col width="10" customWidth="1" style="118" min="6402" max="6402"/>
    <col width="14.33203125" customWidth="1" style="118" min="6403" max="6403"/>
    <col width="8" customWidth="1" style="118" min="6404" max="6404"/>
    <col width="38" customWidth="1" style="118" min="6405" max="6405"/>
    <col width="48.1640625" customWidth="1" style="118" min="6406" max="6406"/>
    <col width="9" customWidth="1" style="118" min="6407" max="6656"/>
    <col width="28.1640625" customWidth="1" style="118" min="6657" max="6657"/>
    <col width="10" customWidth="1" style="118" min="6658" max="6658"/>
    <col width="14.33203125" customWidth="1" style="118" min="6659" max="6659"/>
    <col width="8" customWidth="1" style="118" min="6660" max="6660"/>
    <col width="38" customWidth="1" style="118" min="6661" max="6661"/>
    <col width="48.1640625" customWidth="1" style="118" min="6662" max="6662"/>
    <col width="9" customWidth="1" style="118" min="6663" max="6912"/>
    <col width="28.1640625" customWidth="1" style="118" min="6913" max="6913"/>
    <col width="10" customWidth="1" style="118" min="6914" max="6914"/>
    <col width="14.33203125" customWidth="1" style="118" min="6915" max="6915"/>
    <col width="8" customWidth="1" style="118" min="6916" max="6916"/>
    <col width="38" customWidth="1" style="118" min="6917" max="6917"/>
    <col width="48.1640625" customWidth="1" style="118" min="6918" max="6918"/>
    <col width="9" customWidth="1" style="118" min="6919" max="7168"/>
    <col width="28.1640625" customWidth="1" style="118" min="7169" max="7169"/>
    <col width="10" customWidth="1" style="118" min="7170" max="7170"/>
    <col width="14.33203125" customWidth="1" style="118" min="7171" max="7171"/>
    <col width="8" customWidth="1" style="118" min="7172" max="7172"/>
    <col width="38" customWidth="1" style="118" min="7173" max="7173"/>
    <col width="48.1640625" customWidth="1" style="118" min="7174" max="7174"/>
    <col width="9" customWidth="1" style="118" min="7175" max="7424"/>
    <col width="28.1640625" customWidth="1" style="118" min="7425" max="7425"/>
    <col width="10" customWidth="1" style="118" min="7426" max="7426"/>
    <col width="14.33203125" customWidth="1" style="118" min="7427" max="7427"/>
    <col width="8" customWidth="1" style="118" min="7428" max="7428"/>
    <col width="38" customWidth="1" style="118" min="7429" max="7429"/>
    <col width="48.1640625" customWidth="1" style="118" min="7430" max="7430"/>
    <col width="9" customWidth="1" style="118" min="7431" max="7680"/>
    <col width="28.1640625" customWidth="1" style="118" min="7681" max="7681"/>
    <col width="10" customWidth="1" style="118" min="7682" max="7682"/>
    <col width="14.33203125" customWidth="1" style="118" min="7683" max="7683"/>
    <col width="8" customWidth="1" style="118" min="7684" max="7684"/>
    <col width="38" customWidth="1" style="118" min="7685" max="7685"/>
    <col width="48.1640625" customWidth="1" style="118" min="7686" max="7686"/>
    <col width="9" customWidth="1" style="118" min="7687" max="7936"/>
    <col width="28.1640625" customWidth="1" style="118" min="7937" max="7937"/>
    <col width="10" customWidth="1" style="118" min="7938" max="7938"/>
    <col width="14.33203125" customWidth="1" style="118" min="7939" max="7939"/>
    <col width="8" customWidth="1" style="118" min="7940" max="7940"/>
    <col width="38" customWidth="1" style="118" min="7941" max="7941"/>
    <col width="48.1640625" customWidth="1" style="118" min="7942" max="7942"/>
    <col width="9" customWidth="1" style="118" min="7943" max="8192"/>
    <col width="28.1640625" customWidth="1" style="118" min="8193" max="8193"/>
    <col width="10" customWidth="1" style="118" min="8194" max="8194"/>
    <col width="14.33203125" customWidth="1" style="118" min="8195" max="8195"/>
    <col width="8" customWidth="1" style="118" min="8196" max="8196"/>
    <col width="38" customWidth="1" style="118" min="8197" max="8197"/>
    <col width="48.1640625" customWidth="1" style="118" min="8198" max="8198"/>
    <col width="9" customWidth="1" style="118" min="8199" max="8448"/>
    <col width="28.1640625" customWidth="1" style="118" min="8449" max="8449"/>
    <col width="10" customWidth="1" style="118" min="8450" max="8450"/>
    <col width="14.33203125" customWidth="1" style="118" min="8451" max="8451"/>
    <col width="8" customWidth="1" style="118" min="8452" max="8452"/>
    <col width="38" customWidth="1" style="118" min="8453" max="8453"/>
    <col width="48.1640625" customWidth="1" style="118" min="8454" max="8454"/>
    <col width="9" customWidth="1" style="118" min="8455" max="8704"/>
    <col width="28.1640625" customWidth="1" style="118" min="8705" max="8705"/>
    <col width="10" customWidth="1" style="118" min="8706" max="8706"/>
    <col width="14.33203125" customWidth="1" style="118" min="8707" max="8707"/>
    <col width="8" customWidth="1" style="118" min="8708" max="8708"/>
    <col width="38" customWidth="1" style="118" min="8709" max="8709"/>
    <col width="48.1640625" customWidth="1" style="118" min="8710" max="8710"/>
    <col width="9" customWidth="1" style="118" min="8711" max="8960"/>
    <col width="28.1640625" customWidth="1" style="118" min="8961" max="8961"/>
    <col width="10" customWidth="1" style="118" min="8962" max="8962"/>
    <col width="14.33203125" customWidth="1" style="118" min="8963" max="8963"/>
    <col width="8" customWidth="1" style="118" min="8964" max="8964"/>
    <col width="38" customWidth="1" style="118" min="8965" max="8965"/>
    <col width="48.1640625" customWidth="1" style="118" min="8966" max="8966"/>
    <col width="9" customWidth="1" style="118" min="8967" max="9216"/>
    <col width="28.1640625" customWidth="1" style="118" min="9217" max="9217"/>
    <col width="10" customWidth="1" style="118" min="9218" max="9218"/>
    <col width="14.33203125" customWidth="1" style="118" min="9219" max="9219"/>
    <col width="8" customWidth="1" style="118" min="9220" max="9220"/>
    <col width="38" customWidth="1" style="118" min="9221" max="9221"/>
    <col width="48.1640625" customWidth="1" style="118" min="9222" max="9222"/>
    <col width="9" customWidth="1" style="118" min="9223" max="9472"/>
    <col width="28.1640625" customWidth="1" style="118" min="9473" max="9473"/>
    <col width="10" customWidth="1" style="118" min="9474" max="9474"/>
    <col width="14.33203125" customWidth="1" style="118" min="9475" max="9475"/>
    <col width="8" customWidth="1" style="118" min="9476" max="9476"/>
    <col width="38" customWidth="1" style="118" min="9477" max="9477"/>
    <col width="48.1640625" customWidth="1" style="118" min="9478" max="9478"/>
    <col width="9" customWidth="1" style="118" min="9479" max="9728"/>
    <col width="28.1640625" customWidth="1" style="118" min="9729" max="9729"/>
    <col width="10" customWidth="1" style="118" min="9730" max="9730"/>
    <col width="14.33203125" customWidth="1" style="118" min="9731" max="9731"/>
    <col width="8" customWidth="1" style="118" min="9732" max="9732"/>
    <col width="38" customWidth="1" style="118" min="9733" max="9733"/>
    <col width="48.1640625" customWidth="1" style="118" min="9734" max="9734"/>
    <col width="9" customWidth="1" style="118" min="9735" max="9984"/>
    <col width="28.1640625" customWidth="1" style="118" min="9985" max="9985"/>
    <col width="10" customWidth="1" style="118" min="9986" max="9986"/>
    <col width="14.33203125" customWidth="1" style="118" min="9987" max="9987"/>
    <col width="8" customWidth="1" style="118" min="9988" max="9988"/>
    <col width="38" customWidth="1" style="118" min="9989" max="9989"/>
    <col width="48.1640625" customWidth="1" style="118" min="9990" max="9990"/>
    <col width="9" customWidth="1" style="118" min="9991" max="10240"/>
    <col width="28.1640625" customWidth="1" style="118" min="10241" max="10241"/>
    <col width="10" customWidth="1" style="118" min="10242" max="10242"/>
    <col width="14.33203125" customWidth="1" style="118" min="10243" max="10243"/>
    <col width="8" customWidth="1" style="118" min="10244" max="10244"/>
    <col width="38" customWidth="1" style="118" min="10245" max="10245"/>
    <col width="48.1640625" customWidth="1" style="118" min="10246" max="10246"/>
    <col width="9" customWidth="1" style="118" min="10247" max="10496"/>
    <col width="28.1640625" customWidth="1" style="118" min="10497" max="10497"/>
    <col width="10" customWidth="1" style="118" min="10498" max="10498"/>
    <col width="14.33203125" customWidth="1" style="118" min="10499" max="10499"/>
    <col width="8" customWidth="1" style="118" min="10500" max="10500"/>
    <col width="38" customWidth="1" style="118" min="10501" max="10501"/>
    <col width="48.1640625" customWidth="1" style="118" min="10502" max="10502"/>
    <col width="9" customWidth="1" style="118" min="10503" max="10752"/>
    <col width="28.1640625" customWidth="1" style="118" min="10753" max="10753"/>
    <col width="10" customWidth="1" style="118" min="10754" max="10754"/>
    <col width="14.33203125" customWidth="1" style="118" min="10755" max="10755"/>
    <col width="8" customWidth="1" style="118" min="10756" max="10756"/>
    <col width="38" customWidth="1" style="118" min="10757" max="10757"/>
    <col width="48.1640625" customWidth="1" style="118" min="10758" max="10758"/>
    <col width="9" customWidth="1" style="118" min="10759" max="11008"/>
    <col width="28.1640625" customWidth="1" style="118" min="11009" max="11009"/>
    <col width="10" customWidth="1" style="118" min="11010" max="11010"/>
    <col width="14.33203125" customWidth="1" style="118" min="11011" max="11011"/>
    <col width="8" customWidth="1" style="118" min="11012" max="11012"/>
    <col width="38" customWidth="1" style="118" min="11013" max="11013"/>
    <col width="48.1640625" customWidth="1" style="118" min="11014" max="11014"/>
    <col width="9" customWidth="1" style="118" min="11015" max="11264"/>
    <col width="28.1640625" customWidth="1" style="118" min="11265" max="11265"/>
    <col width="10" customWidth="1" style="118" min="11266" max="11266"/>
    <col width="14.33203125" customWidth="1" style="118" min="11267" max="11267"/>
    <col width="8" customWidth="1" style="118" min="11268" max="11268"/>
    <col width="38" customWidth="1" style="118" min="11269" max="11269"/>
    <col width="48.1640625" customWidth="1" style="118" min="11270" max="11270"/>
    <col width="9" customWidth="1" style="118" min="11271" max="11520"/>
    <col width="28.1640625" customWidth="1" style="118" min="11521" max="11521"/>
    <col width="10" customWidth="1" style="118" min="11522" max="11522"/>
    <col width="14.33203125" customWidth="1" style="118" min="11523" max="11523"/>
    <col width="8" customWidth="1" style="118" min="11524" max="11524"/>
    <col width="38" customWidth="1" style="118" min="11525" max="11525"/>
    <col width="48.1640625" customWidth="1" style="118" min="11526" max="11526"/>
    <col width="9" customWidth="1" style="118" min="11527" max="11776"/>
    <col width="28.1640625" customWidth="1" style="118" min="11777" max="11777"/>
    <col width="10" customWidth="1" style="118" min="11778" max="11778"/>
    <col width="14.33203125" customWidth="1" style="118" min="11779" max="11779"/>
    <col width="8" customWidth="1" style="118" min="11780" max="11780"/>
    <col width="38" customWidth="1" style="118" min="11781" max="11781"/>
    <col width="48.1640625" customWidth="1" style="118" min="11782" max="11782"/>
    <col width="9" customWidth="1" style="118" min="11783" max="12032"/>
    <col width="28.1640625" customWidth="1" style="118" min="12033" max="12033"/>
    <col width="10" customWidth="1" style="118" min="12034" max="12034"/>
    <col width="14.33203125" customWidth="1" style="118" min="12035" max="12035"/>
    <col width="8" customWidth="1" style="118" min="12036" max="12036"/>
    <col width="38" customWidth="1" style="118" min="12037" max="12037"/>
    <col width="48.1640625" customWidth="1" style="118" min="12038" max="12038"/>
    <col width="9" customWidth="1" style="118" min="12039" max="12288"/>
    <col width="28.1640625" customWidth="1" style="118" min="12289" max="12289"/>
    <col width="10" customWidth="1" style="118" min="12290" max="12290"/>
    <col width="14.33203125" customWidth="1" style="118" min="12291" max="12291"/>
    <col width="8" customWidth="1" style="118" min="12292" max="12292"/>
    <col width="38" customWidth="1" style="118" min="12293" max="12293"/>
    <col width="48.1640625" customWidth="1" style="118" min="12294" max="12294"/>
    <col width="9" customWidth="1" style="118" min="12295" max="12544"/>
    <col width="28.1640625" customWidth="1" style="118" min="12545" max="12545"/>
    <col width="10" customWidth="1" style="118" min="12546" max="12546"/>
    <col width="14.33203125" customWidth="1" style="118" min="12547" max="12547"/>
    <col width="8" customWidth="1" style="118" min="12548" max="12548"/>
    <col width="38" customWidth="1" style="118" min="12549" max="12549"/>
    <col width="48.1640625" customWidth="1" style="118" min="12550" max="12550"/>
    <col width="9" customWidth="1" style="118" min="12551" max="12800"/>
    <col width="28.1640625" customWidth="1" style="118" min="12801" max="12801"/>
    <col width="10" customWidth="1" style="118" min="12802" max="12802"/>
    <col width="14.33203125" customWidth="1" style="118" min="12803" max="12803"/>
    <col width="8" customWidth="1" style="118" min="12804" max="12804"/>
    <col width="38" customWidth="1" style="118" min="12805" max="12805"/>
    <col width="48.1640625" customWidth="1" style="118" min="12806" max="12806"/>
    <col width="9" customWidth="1" style="118" min="12807" max="13056"/>
    <col width="28.1640625" customWidth="1" style="118" min="13057" max="13057"/>
    <col width="10" customWidth="1" style="118" min="13058" max="13058"/>
    <col width="14.33203125" customWidth="1" style="118" min="13059" max="13059"/>
    <col width="8" customWidth="1" style="118" min="13060" max="13060"/>
    <col width="38" customWidth="1" style="118" min="13061" max="13061"/>
    <col width="48.1640625" customWidth="1" style="118" min="13062" max="13062"/>
    <col width="9" customWidth="1" style="118" min="13063" max="13312"/>
    <col width="28.1640625" customWidth="1" style="118" min="13313" max="13313"/>
    <col width="10" customWidth="1" style="118" min="13314" max="13314"/>
    <col width="14.33203125" customWidth="1" style="118" min="13315" max="13315"/>
    <col width="8" customWidth="1" style="118" min="13316" max="13316"/>
    <col width="38" customWidth="1" style="118" min="13317" max="13317"/>
    <col width="48.1640625" customWidth="1" style="118" min="13318" max="13318"/>
    <col width="9" customWidth="1" style="118" min="13319" max="13568"/>
    <col width="28.1640625" customWidth="1" style="118" min="13569" max="13569"/>
    <col width="10" customWidth="1" style="118" min="13570" max="13570"/>
    <col width="14.33203125" customWidth="1" style="118" min="13571" max="13571"/>
    <col width="8" customWidth="1" style="118" min="13572" max="13572"/>
    <col width="38" customWidth="1" style="118" min="13573" max="13573"/>
    <col width="48.1640625" customWidth="1" style="118" min="13574" max="13574"/>
    <col width="9" customWidth="1" style="118" min="13575" max="13824"/>
    <col width="28.1640625" customWidth="1" style="118" min="13825" max="13825"/>
    <col width="10" customWidth="1" style="118" min="13826" max="13826"/>
    <col width="14.33203125" customWidth="1" style="118" min="13827" max="13827"/>
    <col width="8" customWidth="1" style="118" min="13828" max="13828"/>
    <col width="38" customWidth="1" style="118" min="13829" max="13829"/>
    <col width="48.1640625" customWidth="1" style="118" min="13830" max="13830"/>
    <col width="9" customWidth="1" style="118" min="13831" max="14080"/>
    <col width="28.1640625" customWidth="1" style="118" min="14081" max="14081"/>
    <col width="10" customWidth="1" style="118" min="14082" max="14082"/>
    <col width="14.33203125" customWidth="1" style="118" min="14083" max="14083"/>
    <col width="8" customWidth="1" style="118" min="14084" max="14084"/>
    <col width="38" customWidth="1" style="118" min="14085" max="14085"/>
    <col width="48.1640625" customWidth="1" style="118" min="14086" max="14086"/>
    <col width="9" customWidth="1" style="118" min="14087" max="14336"/>
    <col width="28.1640625" customWidth="1" style="118" min="14337" max="14337"/>
    <col width="10" customWidth="1" style="118" min="14338" max="14338"/>
    <col width="14.33203125" customWidth="1" style="118" min="14339" max="14339"/>
    <col width="8" customWidth="1" style="118" min="14340" max="14340"/>
    <col width="38" customWidth="1" style="118" min="14341" max="14341"/>
    <col width="48.1640625" customWidth="1" style="118" min="14342" max="14342"/>
    <col width="9" customWidth="1" style="118" min="14343" max="14592"/>
    <col width="28.1640625" customWidth="1" style="118" min="14593" max="14593"/>
    <col width="10" customWidth="1" style="118" min="14594" max="14594"/>
    <col width="14.33203125" customWidth="1" style="118" min="14595" max="14595"/>
    <col width="8" customWidth="1" style="118" min="14596" max="14596"/>
    <col width="38" customWidth="1" style="118" min="14597" max="14597"/>
    <col width="48.1640625" customWidth="1" style="118" min="14598" max="14598"/>
    <col width="9" customWidth="1" style="118" min="14599" max="14848"/>
    <col width="28.1640625" customWidth="1" style="118" min="14849" max="14849"/>
    <col width="10" customWidth="1" style="118" min="14850" max="14850"/>
    <col width="14.33203125" customWidth="1" style="118" min="14851" max="14851"/>
    <col width="8" customWidth="1" style="118" min="14852" max="14852"/>
    <col width="38" customWidth="1" style="118" min="14853" max="14853"/>
    <col width="48.1640625" customWidth="1" style="118" min="14854" max="14854"/>
    <col width="9" customWidth="1" style="118" min="14855" max="15104"/>
    <col width="28.1640625" customWidth="1" style="118" min="15105" max="15105"/>
    <col width="10" customWidth="1" style="118" min="15106" max="15106"/>
    <col width="14.33203125" customWidth="1" style="118" min="15107" max="15107"/>
    <col width="8" customWidth="1" style="118" min="15108" max="15108"/>
    <col width="38" customWidth="1" style="118" min="15109" max="15109"/>
    <col width="48.1640625" customWidth="1" style="118" min="15110" max="15110"/>
    <col width="9" customWidth="1" style="118" min="15111" max="15360"/>
    <col width="28.1640625" customWidth="1" style="118" min="15361" max="15361"/>
    <col width="10" customWidth="1" style="118" min="15362" max="15362"/>
    <col width="14.33203125" customWidth="1" style="118" min="15363" max="15363"/>
    <col width="8" customWidth="1" style="118" min="15364" max="15364"/>
    <col width="38" customWidth="1" style="118" min="15365" max="15365"/>
    <col width="48.1640625" customWidth="1" style="118" min="15366" max="15366"/>
    <col width="9" customWidth="1" style="118" min="15367" max="15616"/>
    <col width="28.1640625" customWidth="1" style="118" min="15617" max="15617"/>
    <col width="10" customWidth="1" style="118" min="15618" max="15618"/>
    <col width="14.33203125" customWidth="1" style="118" min="15619" max="15619"/>
    <col width="8" customWidth="1" style="118" min="15620" max="15620"/>
    <col width="38" customWidth="1" style="118" min="15621" max="15621"/>
    <col width="48.1640625" customWidth="1" style="118" min="15622" max="15622"/>
    <col width="9" customWidth="1" style="118" min="15623" max="15872"/>
    <col width="28.1640625" customWidth="1" style="118" min="15873" max="15873"/>
    <col width="10" customWidth="1" style="118" min="15874" max="15874"/>
    <col width="14.33203125" customWidth="1" style="118" min="15875" max="15875"/>
    <col width="8" customWidth="1" style="118" min="15876" max="15876"/>
    <col width="38" customWidth="1" style="118" min="15877" max="15877"/>
    <col width="48.1640625" customWidth="1" style="118" min="15878" max="15878"/>
    <col width="9" customWidth="1" style="118" min="15879" max="16128"/>
    <col width="28.1640625" customWidth="1" style="118" min="16129" max="16129"/>
    <col width="10" customWidth="1" style="118" min="16130" max="16130"/>
    <col width="14.33203125" customWidth="1" style="118" min="16131" max="16131"/>
    <col width="8" customWidth="1" style="118" min="16132" max="16132"/>
    <col width="38" customWidth="1" style="118" min="16133" max="16133"/>
    <col width="48.1640625" customWidth="1" style="118" min="16134" max="16134"/>
    <col width="9" customWidth="1" style="118" min="16135" max="16384"/>
  </cols>
  <sheetData>
    <row r="2" ht="75.75" customFormat="1" customHeight="1" s="115">
      <c r="A2" s="113" t="n"/>
      <c r="B2" s="114" t="inlineStr">
        <is>
          <t>TEST REPORT DOCUMENT</t>
        </is>
      </c>
      <c r="C2" s="150" t="n"/>
      <c r="D2" s="150" t="n"/>
      <c r="E2" s="150" t="n"/>
      <c r="F2" s="151" t="n"/>
    </row>
    <row r="3">
      <c r="A3" s="116" t="n"/>
      <c r="B3" s="117" t="n"/>
      <c r="E3" s="119" t="n"/>
    </row>
    <row r="4" ht="14.25" customHeight="1">
      <c r="A4" s="120" t="inlineStr">
        <is>
          <t>Project Name</t>
        </is>
      </c>
      <c r="B4" s="121" t="inlineStr">
        <is>
          <t>DroneOps Intelligence</t>
        </is>
      </c>
      <c r="C4" s="150" t="n"/>
      <c r="D4" s="151" t="n"/>
      <c r="E4" s="120" t="inlineStr">
        <is>
          <t>Creator</t>
        </is>
      </c>
      <c r="F4" s="122" t="inlineStr">
        <is>
          <t>Project team</t>
        </is>
      </c>
    </row>
    <row r="5" ht="14.25" customHeight="1">
      <c r="A5" s="120" t="inlineStr">
        <is>
          <t>Project Code</t>
        </is>
      </c>
      <c r="B5" s="121" t="inlineStr">
        <is>
          <t>FA26SE238</t>
        </is>
      </c>
      <c r="C5" s="150" t="n"/>
      <c r="D5" s="151" t="n"/>
      <c r="E5" s="120" t="inlineStr">
        <is>
          <t>Issue Date</t>
        </is>
      </c>
      <c r="F5" s="152" t="n">
        <v>46315</v>
      </c>
    </row>
    <row r="6" ht="15.75" customHeight="1">
      <c r="A6" s="124" t="inlineStr">
        <is>
          <t>Document Code</t>
        </is>
      </c>
      <c r="B6" s="153" t="inlineStr">
        <is>
          <t>FA26SE238_Test_Report_v0.1</t>
        </is>
      </c>
      <c r="C6" s="150" t="n"/>
      <c r="D6" s="151" t="n"/>
      <c r="E6" s="120" t="inlineStr">
        <is>
          <t>Version</t>
        </is>
      </c>
      <c r="F6" s="128" t="inlineStr">
        <is>
          <t>0.1</t>
        </is>
      </c>
    </row>
    <row r="7">
      <c r="A7" s="129" t="n"/>
      <c r="B7" s="130" t="n"/>
      <c r="E7" s="131" t="n"/>
      <c r="F7" s="117" t="n"/>
    </row>
    <row r="8">
      <c r="A8" s="118" t="n"/>
    </row>
    <row r="9">
      <c r="A9" s="132" t="inlineStr">
        <is>
          <t>Record of change</t>
        </is>
      </c>
    </row>
    <row r="10" customFormat="1" s="136">
      <c r="A10" s="133" t="inlineStr">
        <is>
          <t>Effective Date</t>
        </is>
      </c>
      <c r="B10" s="134" t="inlineStr">
        <is>
          <t>Version</t>
        </is>
      </c>
      <c r="C10" s="134" t="inlineStr">
        <is>
          <t>Change Item</t>
        </is>
      </c>
      <c r="D10" s="134" t="inlineStr">
        <is>
          <t>*A,D,M</t>
        </is>
      </c>
      <c r="E10" s="134" t="inlineStr">
        <is>
          <t>Change description</t>
        </is>
      </c>
      <c r="F10" s="135" t="inlineStr">
        <is>
          <t>Reference</t>
        </is>
      </c>
    </row>
    <row r="11" ht="26.25" customFormat="1" customHeight="1" s="142">
      <c r="A11" s="154" t="n">
        <v>46315</v>
      </c>
      <c r="B11" s="138" t="inlineStr">
        <is>
          <t>0.1</t>
        </is>
      </c>
      <c r="C11" s="139" t="inlineStr">
        <is>
          <t>Review 2 test design</t>
        </is>
      </c>
      <c r="D11" s="139" t="inlineStr">
        <is>
          <t>M</t>
        </is>
      </c>
      <c r="E11" s="140" t="inlineStr">
        <is>
          <t>Prepared project cases using the course template; all execution rounds Pending.</t>
        </is>
      </c>
      <c r="F11" s="141" t="inlineStr">
        <is>
          <t>Report 3 / Report 4 / Report 5</t>
        </is>
      </c>
    </row>
    <row r="12" ht="21.75" customFormat="1" customHeight="1" s="142">
      <c r="A12" s="143" t="n"/>
      <c r="B12" s="138" t="n"/>
      <c r="C12" s="139" t="n"/>
      <c r="D12" s="139" t="n"/>
      <c r="E12" s="139" t="n"/>
      <c r="F12" s="144" t="n"/>
    </row>
    <row r="13" ht="19.5" customFormat="1" customHeight="1" s="142">
      <c r="A13" s="143" t="n"/>
      <c r="B13" s="138" t="n"/>
      <c r="C13" s="139" t="n"/>
      <c r="D13" s="139" t="n"/>
      <c r="E13" s="139" t="n"/>
      <c r="F13" s="144" t="n"/>
    </row>
    <row r="14" ht="21.75" customFormat="1" customHeight="1" s="142">
      <c r="A14" s="143" t="n"/>
      <c r="B14" s="138" t="n"/>
      <c r="C14" s="139" t="n"/>
      <c r="D14" s="139" t="n"/>
      <c r="E14" s="139" t="n"/>
      <c r="F14" s="144" t="n"/>
    </row>
    <row r="15" ht="19.5" customFormat="1" customHeight="1" s="142">
      <c r="A15" s="143" t="n"/>
      <c r="B15" s="138" t="n"/>
      <c r="C15" s="139" t="n"/>
      <c r="D15" s="139" t="n"/>
      <c r="E15" s="139" t="n"/>
      <c r="F15" s="144" t="n"/>
    </row>
    <row r="16" ht="21.75" customFormat="1" customHeight="1" s="142">
      <c r="A16" s="143" t="n"/>
      <c r="B16" s="138" t="n"/>
      <c r="C16" s="139" t="n"/>
      <c r="D16" s="139" t="n"/>
      <c r="E16" s="139" t="n"/>
      <c r="F16" s="144" t="n"/>
    </row>
    <row r="17" ht="19.5" customFormat="1" customHeight="1" s="142">
      <c r="A17" s="145" t="n"/>
      <c r="B17" s="146" t="n"/>
      <c r="C17" s="147" t="n"/>
      <c r="D17" s="147" t="n"/>
      <c r="E17" s="147" t="n"/>
      <c r="F17" s="148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.5118055555555556" footer="0.1701388888888889"/>
  <pageSetup orientation="landscape" paperSize="9" firstPageNumber="0" horizontalDpi="300" verticalDpi="300"/>
  <headerFooter alignWithMargins="0">
    <oddHeader/>
    <oddFooter>&amp;L&amp;"Tahoma,Regular"&amp;8 02ae-BM/PM/HDCV/FSOFT v2/1&amp;C&amp;"Tahoma,Regular"&amp;8 Internal use&amp;R&amp;"tahomaTahoma,Regular"&amp;8 &amp;P/&amp;N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D13" sqref="D13"/>
    </sheetView>
  </sheetViews>
  <sheetFormatPr baseColWidth="10" defaultColWidth="9" defaultRowHeight="13"/>
  <cols>
    <col width="1.33203125" customWidth="1" style="61" min="1" max="1"/>
    <col width="11.83203125" customWidth="1" style="3" min="2" max="2"/>
    <col width="26.5" customWidth="1" style="4" min="3" max="3"/>
    <col width="17.1640625" customWidth="1" style="4" min="4" max="4"/>
    <col width="28.1640625" customWidth="1" style="4" min="5" max="5"/>
    <col width="30.6640625" customWidth="1" style="4" min="6" max="6"/>
    <col width="9" customWidth="1" style="61" min="7" max="16384"/>
  </cols>
  <sheetData>
    <row r="1" ht="25" customHeight="1">
      <c r="B1" s="5" t="n"/>
      <c r="D1" s="6" t="inlineStr">
        <is>
          <t>TEST CASE LIST</t>
        </is>
      </c>
      <c r="E1" s="7" t="n"/>
    </row>
    <row r="2" ht="13.5" customHeight="1">
      <c r="B2" s="5" t="n"/>
      <c r="D2" s="8" t="n"/>
      <c r="E2" s="8" t="n"/>
    </row>
    <row r="3">
      <c r="B3" s="104" t="inlineStr">
        <is>
          <t>Project Name</t>
        </is>
      </c>
      <c r="C3" s="150" t="n"/>
      <c r="D3" s="105" t="inlineStr">
        <is>
          <t>DroneOps Intelligence</t>
        </is>
      </c>
      <c r="E3" s="150" t="n"/>
      <c r="F3" s="151" t="n"/>
    </row>
    <row r="4">
      <c r="B4" s="104" t="inlineStr">
        <is>
          <t>Project Code</t>
        </is>
      </c>
      <c r="C4" s="150" t="n"/>
      <c r="D4" s="105" t="inlineStr">
        <is>
          <t>FA26SE238</t>
        </is>
      </c>
      <c r="E4" s="150" t="n"/>
      <c r="F4" s="151" t="n"/>
    </row>
    <row r="5" ht="84.75" customFormat="1" customHeight="1" s="33">
      <c r="B5" s="102" t="inlineStr">
        <is>
          <t>Test Environment Setup Description</t>
        </is>
      </c>
      <c r="C5" s="151" t="n"/>
      <c r="D5" s="103" t="inlineStr">
        <is>
          <t>.NET 8 API; project Web build; disposable PostgreSQL schema; Chrome/Edge; scoped test accounts; controlled route, restriction, telemetry and provider fixtures.</t>
        </is>
      </c>
      <c r="E5" s="150" t="n"/>
      <c r="F5" s="151" t="n"/>
    </row>
    <row r="6">
      <c r="B6" s="10" t="n"/>
      <c r="C6" s="61" t="n"/>
      <c r="D6" s="61" t="n"/>
      <c r="E6" s="61" t="n"/>
      <c r="F6" s="61" t="n"/>
    </row>
    <row r="7" customFormat="1" s="12">
      <c r="B7" s="13" t="n"/>
      <c r="C7" s="14" t="n"/>
      <c r="D7" s="14" t="n"/>
      <c r="E7" s="14" t="n"/>
      <c r="F7" s="14" t="n"/>
    </row>
    <row r="8" ht="21" customFormat="1" customHeight="1" s="15">
      <c r="B8" s="16" t="inlineStr">
        <is>
          <t>No</t>
        </is>
      </c>
      <c r="C8" s="17" t="inlineStr">
        <is>
          <t>Function Name</t>
        </is>
      </c>
      <c r="D8" s="17" t="inlineStr">
        <is>
          <t>Sheet Name</t>
        </is>
      </c>
      <c r="E8" s="18" t="inlineStr">
        <is>
          <t>Description</t>
        </is>
      </c>
      <c r="F8" s="19" t="inlineStr">
        <is>
          <t>Pre-Condition</t>
        </is>
      </c>
    </row>
    <row r="9" ht="14" customHeight="1">
      <c r="B9" s="20" t="n">
        <v>1</v>
      </c>
      <c r="C9" s="21" t="inlineStr">
        <is>
          <t>Mission</t>
        </is>
      </c>
      <c r="D9" s="101" t="inlineStr">
        <is>
          <t>Mission</t>
        </is>
      </c>
      <c r="E9" s="22" t="inlineStr">
        <is>
          <t>Requirement-linked mission cases</t>
        </is>
      </c>
      <c r="F9" s="23" t="inlineStr">
        <is>
          <t>Controlled test environment and tagged build</t>
        </is>
      </c>
    </row>
    <row r="10" ht="14" customHeight="1">
      <c r="B10" s="20" t="n">
        <v>2</v>
      </c>
      <c r="C10" s="21" t="inlineStr">
        <is>
          <t>Telemetry</t>
        </is>
      </c>
      <c r="D10" s="101" t="inlineStr">
        <is>
          <t>Telemetry</t>
        </is>
      </c>
      <c r="E10" s="22" t="inlineStr">
        <is>
          <t>Requirement-linked telemetry cases</t>
        </is>
      </c>
      <c r="F10" s="23" t="inlineStr">
        <is>
          <t>Controlled test environment and tagged build</t>
        </is>
      </c>
    </row>
    <row r="11" ht="14" customHeight="1">
      <c r="B11" s="20" t="n">
        <v>3</v>
      </c>
      <c r="C11" s="21" t="inlineStr">
        <is>
          <t>Incidents</t>
        </is>
      </c>
      <c r="D11" s="101" t="inlineStr">
        <is>
          <t>Incidents</t>
        </is>
      </c>
      <c r="E11" s="22" t="inlineStr">
        <is>
          <t>Requirement-linked incidents cases</t>
        </is>
      </c>
      <c r="F11" s="23" t="inlineStr">
        <is>
          <t>Controlled test environment and tagged build</t>
        </is>
      </c>
    </row>
    <row r="12" ht="14" customHeight="1">
      <c r="B12" s="20" t="n">
        <v>4</v>
      </c>
      <c r="C12" s="21" t="inlineStr">
        <is>
          <t>History</t>
        </is>
      </c>
      <c r="D12" s="101" t="inlineStr">
        <is>
          <t>History</t>
        </is>
      </c>
      <c r="E12" s="22" t="inlineStr">
        <is>
          <t>Requirement-linked history cases</t>
        </is>
      </c>
      <c r="F12" s="23" t="inlineStr">
        <is>
          <t>Controlled test environment and tagged build</t>
        </is>
      </c>
    </row>
    <row r="13" ht="14" customHeight="1">
      <c r="B13" s="20" t="n">
        <v>5</v>
      </c>
      <c r="C13" s="21" t="inlineStr">
        <is>
          <t>AI</t>
        </is>
      </c>
      <c r="D13" s="101" t="inlineStr">
        <is>
          <t>AI</t>
        </is>
      </c>
      <c r="E13" s="22" t="inlineStr">
        <is>
          <t>Requirement-linked ai cases</t>
        </is>
      </c>
      <c r="F13" s="23" t="inlineStr">
        <is>
          <t>Controlled test environment and tagged build</t>
        </is>
      </c>
    </row>
    <row r="14">
      <c r="B14" s="20" t="n">
        <v>6</v>
      </c>
      <c r="C14" s="21" t="inlineStr">
        <is>
          <t>Shared</t>
        </is>
      </c>
      <c r="D14" s="24" t="inlineStr">
        <is>
          <t>Shared</t>
        </is>
      </c>
      <c r="E14" s="24" t="inlineStr">
        <is>
          <t>Requirement-linked shared cases</t>
        </is>
      </c>
      <c r="F14" s="23" t="inlineStr">
        <is>
          <t>Controlled test environment and tagged build</t>
        </is>
      </c>
    </row>
    <row r="15">
      <c r="B15" s="20" t="n"/>
      <c r="C15" s="21" t="n"/>
      <c r="D15" s="24" t="n"/>
      <c r="E15" s="24" t="n"/>
      <c r="F15" s="23" t="n"/>
    </row>
    <row r="16">
      <c r="B16" s="20" t="n"/>
      <c r="C16" s="21" t="n"/>
      <c r="D16" s="24" t="n"/>
      <c r="E16" s="24" t="n"/>
      <c r="F16" s="23" t="n"/>
    </row>
    <row r="17">
      <c r="B17" s="20" t="n"/>
      <c r="C17" s="21" t="n"/>
      <c r="D17" s="24" t="n"/>
      <c r="E17" s="24" t="n"/>
      <c r="F17" s="23" t="n"/>
    </row>
    <row r="18">
      <c r="B18" s="20" t="n"/>
      <c r="C18" s="21" t="n"/>
      <c r="D18" s="24" t="n"/>
      <c r="E18" s="24" t="n"/>
      <c r="F18" s="23" t="n"/>
    </row>
    <row r="19">
      <c r="B19" s="20" t="n"/>
      <c r="C19" s="21" t="n"/>
      <c r="D19" s="24" t="n"/>
      <c r="E19" s="24" t="n"/>
      <c r="F19" s="23" t="n"/>
    </row>
    <row r="20">
      <c r="B20" s="20" t="n"/>
      <c r="C20" s="21" t="n"/>
      <c r="D20" s="24" t="n"/>
      <c r="E20" s="24" t="n"/>
      <c r="F20" s="23" t="n"/>
    </row>
    <row r="21">
      <c r="B21" s="25" t="n"/>
      <c r="C21" s="26" t="n"/>
      <c r="D21" s="27" t="n"/>
      <c r="E21" s="27" t="n"/>
      <c r="F21" s="28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Feature1!A1" display="Feature1"/>
    <hyperlink ref="D10" location="Feature2!A1" display="Feature1"/>
    <hyperlink ref="D11" location="Feature1!A1" display="Feature1"/>
    <hyperlink ref="D12" location="Feature2!A1" display="Feature2"/>
    <hyperlink ref="D13" location="Feature2!A1" display="Feature2"/>
  </hyperlinks>
  <pageMargins left="0.7479166666666667" right="0.7479166666666667" top="0.9840277777777778" bottom="1.150694444444444" header="0.5118055555555556" footer="0.9840277777777778"/>
  <pageSetup orientation="landscape" paperSize="9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B2" sqref="B2"/>
    </sheetView>
  </sheetViews>
  <sheetFormatPr baseColWidth="10" defaultColWidth="9" defaultRowHeight="13"/>
  <cols>
    <col width="4.5" customWidth="1" style="61" min="1" max="1"/>
    <col width="18.33203125" customWidth="1" style="61" min="2" max="2"/>
    <col width="19.33203125" customWidth="1" style="61" min="3" max="3"/>
    <col width="11.6640625" customWidth="1" style="61" min="4" max="6"/>
    <col width="9" customWidth="1" style="61" min="7" max="7"/>
    <col width="35.5" customWidth="1" style="61" min="8" max="8"/>
    <col width="33.1640625" customWidth="1" style="61" min="9" max="9"/>
    <col width="9" customWidth="1" style="61" min="10" max="16384"/>
  </cols>
  <sheetData>
    <row r="1" ht="25.5" customHeight="1">
      <c r="B1" s="108" t="inlineStr">
        <is>
          <t>TEST STATISTICS</t>
        </is>
      </c>
    </row>
    <row r="2" ht="14.25" customHeight="1">
      <c r="A2" s="52" t="n"/>
      <c r="B2" s="52" t="n"/>
      <c r="C2" s="53" t="n"/>
      <c r="D2" s="53" t="n"/>
      <c r="E2" s="53" t="n"/>
      <c r="F2" s="53" t="n"/>
      <c r="G2" s="53" t="n"/>
      <c r="H2" s="54" t="n"/>
    </row>
    <row r="3" ht="12" customHeight="1">
      <c r="B3" s="2" t="inlineStr">
        <is>
          <t>Project Name</t>
        </is>
      </c>
      <c r="C3" s="105" t="inlineStr">
        <is>
          <t>DroneOps Intelligence</t>
        </is>
      </c>
      <c r="D3" s="151" t="n"/>
      <c r="E3" s="106" t="inlineStr">
        <is>
          <t>Creator</t>
        </is>
      </c>
      <c r="F3" s="151" t="n"/>
      <c r="G3" s="55" t="n"/>
      <c r="H3" s="56" t="inlineStr">
        <is>
          <t>Project team</t>
        </is>
      </c>
    </row>
    <row r="4" ht="12" customHeight="1">
      <c r="B4" s="2" t="inlineStr">
        <is>
          <t>Project Code</t>
        </is>
      </c>
      <c r="C4" s="105" t="inlineStr">
        <is>
          <t>FA26SE238</t>
        </is>
      </c>
      <c r="D4" s="151" t="n"/>
      <c r="E4" s="106" t="inlineStr">
        <is>
          <t>Reviewer/Approver</t>
        </is>
      </c>
      <c r="F4" s="151" t="n"/>
      <c r="G4" s="55" t="n"/>
      <c r="H4" s="56" t="inlineStr"/>
    </row>
    <row r="5" ht="12" customHeight="1">
      <c r="B5" s="57" t="inlineStr">
        <is>
          <t>Document Code</t>
        </is>
      </c>
      <c r="C5" s="105" t="inlineStr">
        <is>
          <t>FA26SE238_Test_Report_v0.1</t>
        </is>
      </c>
      <c r="D5" s="151" t="n"/>
      <c r="E5" s="106" t="inlineStr">
        <is>
          <t>Issue Date</t>
        </is>
      </c>
      <c r="F5" s="151" t="n"/>
      <c r="G5" s="55" t="n"/>
      <c r="H5" s="155" t="n">
        <v>46315</v>
      </c>
    </row>
    <row r="6" ht="21.75" customHeight="1">
      <c r="A6" s="52" t="n"/>
      <c r="B6" s="57" t="inlineStr">
        <is>
          <t>Notes</t>
        </is>
      </c>
      <c r="C6" s="107" t="inlineStr">
        <is>
          <t>Mission, telemetry, incidents, history, AI and shared functions. All cases are Pending; no execution results recorded.</t>
        </is>
      </c>
      <c r="D6" s="150" t="n"/>
      <c r="E6" s="150" t="n"/>
      <c r="F6" s="150" t="n"/>
      <c r="G6" s="150" t="n"/>
      <c r="H6" s="151" t="n"/>
    </row>
    <row r="7" ht="14.25" customHeight="1">
      <c r="A7" s="52" t="n"/>
      <c r="B7" s="59" t="n"/>
      <c r="C7" s="60" t="n"/>
      <c r="D7" s="53" t="n"/>
      <c r="E7" s="53" t="n"/>
      <c r="F7" s="53" t="n"/>
      <c r="G7" s="53" t="n"/>
      <c r="H7" s="54" t="n"/>
    </row>
    <row r="8">
      <c r="B8" s="59" t="n"/>
      <c r="C8" s="60" t="n"/>
      <c r="D8" s="53" t="n"/>
      <c r="E8" s="53" t="n"/>
      <c r="F8" s="53" t="n"/>
      <c r="G8" s="53" t="n"/>
      <c r="H8" s="54" t="n"/>
    </row>
    <row r="9">
      <c r="A9" s="61" t="n"/>
      <c r="B9" s="61" t="n"/>
      <c r="C9" s="61" t="n"/>
      <c r="D9" s="61" t="n"/>
      <c r="E9" s="61" t="n"/>
      <c r="F9" s="61" t="n"/>
      <c r="G9" s="61" t="n"/>
      <c r="H9" s="61" t="n"/>
    </row>
    <row r="10" ht="14" customHeight="1">
      <c r="A10" s="68" t="n"/>
      <c r="B10" s="63" t="inlineStr">
        <is>
          <t>No</t>
        </is>
      </c>
      <c r="C10" s="64" t="inlineStr">
        <is>
          <t>Module code</t>
        </is>
      </c>
      <c r="D10" s="65" t="inlineStr">
        <is>
          <t>Passed</t>
        </is>
      </c>
      <c r="E10" s="64" t="inlineStr">
        <is>
          <t>Failed</t>
        </is>
      </c>
      <c r="F10" s="64" t="inlineStr">
        <is>
          <t>Pending</t>
        </is>
      </c>
      <c r="G10" s="66" t="inlineStr">
        <is>
          <t>N/A</t>
        </is>
      </c>
      <c r="H10" s="67" t="inlineStr">
        <is>
          <t>Number of  test cases</t>
        </is>
      </c>
    </row>
    <row r="11">
      <c r="A11" s="68" t="n"/>
      <c r="B11" s="69" t="n">
        <v>1</v>
      </c>
      <c r="C11" s="70">
        <f>'Mission'!B2</f>
        <v/>
      </c>
      <c r="D11" s="71">
        <f>'Mission'!B6</f>
        <v/>
      </c>
      <c r="E11" s="71">
        <f>'Mission'!C6</f>
        <v/>
      </c>
      <c r="F11" s="71">
        <f>'Mission'!D6</f>
        <v/>
      </c>
      <c r="G11" s="71">
        <f>'Mission'!E6</f>
        <v/>
      </c>
      <c r="H11" s="73">
        <f>'Mission'!B4</f>
        <v/>
      </c>
    </row>
    <row r="12">
      <c r="A12" s="68" t="n"/>
      <c r="B12" s="69" t="n">
        <v>2</v>
      </c>
      <c r="C12" s="70">
        <f>'Telemetry'!B2</f>
        <v/>
      </c>
      <c r="D12" s="71">
        <f>'Telemetry'!B6</f>
        <v/>
      </c>
      <c r="E12" s="71">
        <f>'Telemetry'!C6</f>
        <v/>
      </c>
      <c r="F12" s="71">
        <f>'Telemetry'!D6</f>
        <v/>
      </c>
      <c r="G12" s="71">
        <f>'Telemetry'!E6</f>
        <v/>
      </c>
      <c r="H12" s="73">
        <f>'Telemetry'!B4</f>
        <v/>
      </c>
    </row>
    <row r="13">
      <c r="B13" s="69" t="n">
        <v>3</v>
      </c>
      <c r="C13" s="70">
        <f>'Incidents'!B2</f>
        <v/>
      </c>
      <c r="D13" s="71">
        <f>'Incidents'!B6</f>
        <v/>
      </c>
      <c r="E13" s="71">
        <f>'Incidents'!C6</f>
        <v/>
      </c>
      <c r="F13" s="71">
        <f>'Incidents'!D6</f>
        <v/>
      </c>
      <c r="G13" s="71">
        <f>'Incidents'!E6</f>
        <v/>
      </c>
      <c r="H13" s="73">
        <f>'Incidents'!B4</f>
        <v/>
      </c>
    </row>
    <row r="14">
      <c r="B14" s="69" t="n">
        <v>4</v>
      </c>
      <c r="C14" s="70">
        <f>'History'!B2</f>
        <v/>
      </c>
      <c r="D14" s="71">
        <f>'History'!B6</f>
        <v/>
      </c>
      <c r="E14" s="71">
        <f>'History'!C6</f>
        <v/>
      </c>
      <c r="F14" s="71">
        <f>'History'!D6</f>
        <v/>
      </c>
      <c r="G14" s="71">
        <f>'History'!E6</f>
        <v/>
      </c>
      <c r="H14" s="73">
        <f>'History'!B4</f>
        <v/>
      </c>
    </row>
    <row r="15">
      <c r="B15" s="69" t="n">
        <v>5</v>
      </c>
      <c r="C15" s="70">
        <f>'AI'!B2</f>
        <v/>
      </c>
      <c r="D15" s="71">
        <f>'AI'!B6</f>
        <v/>
      </c>
      <c r="E15" s="71">
        <f>'AI'!C6</f>
        <v/>
      </c>
      <c r="F15" s="71">
        <f>'AI'!D6</f>
        <v/>
      </c>
      <c r="G15" s="71">
        <f>'AI'!E6</f>
        <v/>
      </c>
      <c r="H15" s="73">
        <f>'AI'!B4</f>
        <v/>
      </c>
    </row>
    <row r="16">
      <c r="B16" s="69" t="n">
        <v>6</v>
      </c>
      <c r="C16" s="70">
        <f>'Shared'!B2</f>
        <v/>
      </c>
      <c r="D16" s="71">
        <f>'Shared'!B6</f>
        <v/>
      </c>
      <c r="E16" s="71">
        <f>'Shared'!C6</f>
        <v/>
      </c>
      <c r="F16" s="71">
        <f>'Shared'!D6</f>
        <v/>
      </c>
      <c r="G16" s="71">
        <f>'Shared'!E6</f>
        <v/>
      </c>
      <c r="H16" s="73">
        <f>'Shared'!B4</f>
        <v/>
      </c>
    </row>
    <row r="17">
      <c r="A17" s="68" t="n"/>
      <c r="B17" s="69" t="n"/>
      <c r="C17" s="70" t="n"/>
      <c r="D17" s="71" t="n"/>
      <c r="E17" s="71" t="n"/>
      <c r="F17" s="71" t="n"/>
      <c r="G17" s="72" t="n"/>
      <c r="H17" s="73" t="n"/>
    </row>
    <row r="18">
      <c r="A18" s="68" t="n"/>
      <c r="B18" s="74" t="n"/>
      <c r="C18" s="75" t="inlineStr">
        <is>
          <t>Sub total</t>
        </is>
      </c>
      <c r="D18" s="76">
        <f>SUM(D11:D16)</f>
        <v/>
      </c>
      <c r="E18" s="76">
        <f>SUM(E11:E16)</f>
        <v/>
      </c>
      <c r="F18" s="76">
        <f>SUM(F11:F16)</f>
        <v/>
      </c>
      <c r="G18" s="76">
        <f>SUM(G11:G16)</f>
        <v/>
      </c>
      <c r="H18" s="77">
        <f>SUM(H11:H16)</f>
        <v/>
      </c>
    </row>
    <row r="19">
      <c r="A19" s="61" t="n"/>
      <c r="B19" s="78" t="n"/>
      <c r="C19" s="61" t="n"/>
      <c r="D19" s="79" t="n"/>
      <c r="E19" s="80" t="n"/>
      <c r="F19" s="80" t="n"/>
      <c r="G19" s="80" t="n"/>
      <c r="H19" s="80" t="n"/>
    </row>
    <row r="20">
      <c r="A20" s="61" t="n"/>
      <c r="B20" s="61" t="n"/>
      <c r="C20" s="81" t="inlineStr">
        <is>
          <t>Test coverage</t>
        </is>
      </c>
      <c r="D20" s="61" t="n"/>
      <c r="E20" s="82">
        <f>IFERROR((D18+E18)*100/(H18-G18),0)</f>
        <v/>
      </c>
      <c r="F20" s="61" t="inlineStr">
        <is>
          <t>%</t>
        </is>
      </c>
      <c r="G20" s="61" t="n"/>
      <c r="H20" s="36" t="n"/>
    </row>
    <row r="21">
      <c r="A21" s="61" t="n"/>
      <c r="B21" s="61" t="n"/>
      <c r="C21" s="81" t="inlineStr">
        <is>
          <t>Test successful coverage</t>
        </is>
      </c>
      <c r="D21" s="61" t="n"/>
      <c r="E21" s="82">
        <f>IFERROR(D18*100/(H18-G18),0)</f>
        <v/>
      </c>
      <c r="F21" s="61" t="inlineStr">
        <is>
          <t>%</t>
        </is>
      </c>
      <c r="G21" s="61" t="n"/>
      <c r="H21" s="36" t="n"/>
    </row>
    <row r="22">
      <c r="C22" s="61" t="n"/>
      <c r="D22" s="61" t="n"/>
    </row>
  </sheetData>
  <mergeCells count="8">
    <mergeCell ref="E4:F4"/>
    <mergeCell ref="C6:H6"/>
    <mergeCell ref="B1:H1"/>
    <mergeCell ref="C5:D5"/>
    <mergeCell ref="E5:F5"/>
    <mergeCell ref="C3:D3"/>
    <mergeCell ref="E3:F3"/>
    <mergeCell ref="C4:D4"/>
  </mergeCells>
  <pageMargins left="0.7479166666666667" right="0.7479166666666667" top="0.9840277777777778" bottom="0.9840277777777777" header="0.5118055555555556" footer="0.5"/>
  <pageSetup orientation="landscape" firstPageNumber="0" horizontalDpi="300" verticalDpi="300"/>
  <headerFooter alignWithMargins="0">
    <oddHeader/>
    <oddFooter>&amp;L&amp;"Tahoma,Regular"&amp;8 02ae-BM/PM/HDCV/FSOFT v2/0&amp;C&amp;"tahoma,Regular"&amp;8 Internal use&amp;R&amp;"Tahoma,Regular"&amp;8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2:R100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Mission</t>
        </is>
      </c>
      <c r="C2" s="156" t="n"/>
      <c r="D2" s="156" t="n"/>
      <c r="E2" s="157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UC-05–12 / MF1-CR-01–03</t>
        </is>
      </c>
      <c r="C3" s="158" t="n"/>
      <c r="D3" s="158" t="n"/>
      <c r="E3" s="159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COUNTA(A12:A23)</f>
        <v/>
      </c>
      <c r="C4" s="158" t="n"/>
      <c r="D4" s="158" t="n"/>
      <c r="E4" s="159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COUNTIF(F12:F23,"Passed")</f>
        <v/>
      </c>
      <c r="C6" s="92">
        <f>COUNTIF(F12:F23,"Failed")</f>
        <v/>
      </c>
      <c r="D6" s="92">
        <f>COUNTIF(F12:F23,"Pending")</f>
        <v/>
      </c>
      <c r="E6" s="98">
        <f>COUNTIF(F12:F23,"N/A")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COUNTIF(I12:I23,"Passed")</f>
        <v/>
      </c>
      <c r="C7" s="92">
        <f>COUNTIF(I12:I23,"Failed")</f>
        <v/>
      </c>
      <c r="D7" s="92">
        <f>COUNTIF(I12:I23,"Pending")</f>
        <v/>
      </c>
      <c r="E7" s="98">
        <f>COUNTIF(I12:I23,"N/A")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COUNTIF(L12:L23,"Passed")</f>
        <v/>
      </c>
      <c r="C8" s="96">
        <f>COUNTIF(L12:L23,"Failed")</f>
        <v/>
      </c>
      <c r="D8" s="96">
        <f>COUNTIF(L12:L23,"Pending")</f>
        <v/>
      </c>
      <c r="E8" s="97">
        <f>COUNTIF(L12:L23,"N/A")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Mission functions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90" customFormat="1" customHeight="1" s="47">
      <c r="A12" s="42" t="inlineStr">
        <is>
          <t>TC-M01</t>
        </is>
      </c>
      <c r="B12" s="43" t="inlineStr">
        <is>
          <t>Create Draft mission</t>
        </is>
      </c>
      <c r="C12" s="43" t="inlineStr">
        <is>
          <t>Authenticate assigned Operator; create named mission with valid UAV, route and schedule; reload.</t>
        </is>
      </c>
      <c r="D12" s="44" t="inlineStr">
        <is>
          <t>Same persisted mission ID with ordered route; no automatic approval.</t>
        </is>
      </c>
      <c r="E12" s="44" t="inlineStr">
        <is>
          <t>Tagged test build; scoped identities; controlled fixtures; required implementation available.</t>
        </is>
      </c>
      <c r="F12" s="42" t="inlineStr">
        <is>
          <t>Pending</t>
        </is>
      </c>
      <c r="G12" s="42" t="inlineStr"/>
      <c r="H12" s="42" t="inlineStr"/>
      <c r="I12" s="42" t="inlineStr">
        <is>
          <t>Pending</t>
        </is>
      </c>
      <c r="J12" s="42" t="inlineStr"/>
      <c r="K12" s="42" t="inlineStr"/>
      <c r="L12" s="42" t="inlineStr">
        <is>
          <t>Pending</t>
        </is>
      </c>
      <c r="M12" s="42" t="inlineStr"/>
      <c r="N12" s="42" t="inlineStr"/>
      <c r="O12" s="45" t="inlineStr">
        <is>
          <t>UC-05–12 / MF1-CR-01–03 | Integration | High</t>
        </is>
      </c>
      <c r="Q12" s="46" t="n"/>
    </row>
    <row r="13" outlineLevel="1" ht="90" customHeight="1">
      <c r="A13" s="42" t="inlineStr">
        <is>
          <t>TC-M02</t>
        </is>
      </c>
      <c r="B13" s="43" t="inlineStr">
        <is>
          <t>Every accepted edit reaches Manager</t>
        </is>
      </c>
      <c r="C13" s="43" t="inlineStr">
        <is>
          <t>Edit Draft or Rejected mission; save accepted metadata/waypoints; open scoped Manager queue.</t>
        </is>
      </c>
      <c r="D13" s="44" t="inlineStr">
        <is>
          <t>Pending request visible with proposed content and validation result; current content not applied before approval.</t>
        </is>
      </c>
      <c r="E13" s="44" t="inlineStr">
        <is>
          <t>Tagged test build; scoped identities; controlled fixtures; required implementation available.</t>
        </is>
      </c>
      <c r="F13" s="42" t="inlineStr">
        <is>
          <t>Pending</t>
        </is>
      </c>
      <c r="G13" s="42" t="inlineStr"/>
      <c r="H13" s="42" t="inlineStr"/>
      <c r="I13" s="42" t="inlineStr">
        <is>
          <t>Pending</t>
        </is>
      </c>
      <c r="J13" s="42" t="inlineStr"/>
      <c r="K13" s="42" t="inlineStr"/>
      <c r="L13" s="42" t="inlineStr">
        <is>
          <t>Pending</t>
        </is>
      </c>
      <c r="M13" s="42" t="inlineStr"/>
      <c r="N13" s="42" t="inlineStr"/>
      <c r="O13" s="45" t="inlineStr">
        <is>
          <t>UC-05–12 / MF1-CR-01–03 | Integration | High</t>
        </is>
      </c>
      <c r="Q13" s="46" t="n"/>
    </row>
    <row r="14" outlineLevel="1" ht="90" customHeight="1">
      <c r="A14" s="42" t="inlineStr">
        <is>
          <t>TC-M03</t>
        </is>
      </c>
      <c r="B14" s="43" t="inlineStr">
        <is>
          <t>Reject update of Approved mission</t>
        </is>
      </c>
      <c r="C14" s="43" t="inlineStr">
        <is>
          <t>Record approved mission content/status; save changed name/route; Manager rejects with reason; reload in both roles.</t>
        </is>
      </c>
      <c r="D14" s="44" t="inlineStr">
        <is>
          <t>Existing metadata/waypoints and Approved status unchanged; rejected request and reason visible.</t>
        </is>
      </c>
      <c r="E14" s="44" t="inlineStr">
        <is>
          <t>Tagged test build; scoped identities; controlled fixtures; required implementation available.</t>
        </is>
      </c>
      <c r="F14" s="42" t="inlineStr">
        <is>
          <t>Pending</t>
        </is>
      </c>
      <c r="G14" s="42" t="inlineStr"/>
      <c r="H14" s="42" t="inlineStr"/>
      <c r="I14" s="42" t="inlineStr">
        <is>
          <t>Pending</t>
        </is>
      </c>
      <c r="J14" s="42" t="inlineStr"/>
      <c r="K14" s="42" t="inlineStr"/>
      <c r="L14" s="42" t="inlineStr">
        <is>
          <t>Pending</t>
        </is>
      </c>
      <c r="M14" s="42" t="inlineStr"/>
      <c r="N14" s="42" t="inlineStr"/>
      <c r="O14" s="45" t="inlineStr">
        <is>
          <t>UC-05–12 / MF1-CR-01–03 | Integration | High</t>
        </is>
      </c>
      <c r="Q14" s="46" t="n"/>
    </row>
    <row r="15" ht="90" customFormat="1" customHeight="1" s="32">
      <c r="A15" s="42" t="inlineStr">
        <is>
          <t>TC-M04</t>
        </is>
      </c>
      <c r="B15" s="43" t="inlineStr">
        <is>
          <t>Approve update of Approved mission</t>
        </is>
      </c>
      <c r="C15" s="43" t="inlineStr">
        <is>
          <t>Submit changed name/route; obtain current passing validation; Manager approves exact request; reload.</t>
        </is>
      </c>
      <c r="D15" s="44" t="inlineStr">
        <is>
          <t>Same mission ID now contains accepted metadata/ordered route; decision/request closed atomically.</t>
        </is>
      </c>
      <c r="E15" s="44" t="inlineStr">
        <is>
          <t>Tagged test build; scoped identities; controlled fixtures; required implementation available.</t>
        </is>
      </c>
      <c r="F15" s="42" t="inlineStr">
        <is>
          <t>Pending</t>
        </is>
      </c>
      <c r="G15" s="42" t="inlineStr"/>
      <c r="H15" s="42" t="inlineStr"/>
      <c r="I15" s="42" t="inlineStr">
        <is>
          <t>Pending</t>
        </is>
      </c>
      <c r="J15" s="42" t="inlineStr"/>
      <c r="K15" s="42" t="inlineStr"/>
      <c r="L15" s="42" t="inlineStr">
        <is>
          <t>Pending</t>
        </is>
      </c>
      <c r="M15" s="42" t="inlineStr"/>
      <c r="N15" s="42" t="inlineStr"/>
      <c r="O15" s="45" t="inlineStr">
        <is>
          <t>UC-05–12 / MF1-CR-01–03 | Integration | High</t>
        </is>
      </c>
      <c r="Q15" s="41" t="n"/>
    </row>
    <row r="16" outlineLevel="1" ht="90" customHeight="1">
      <c r="A16" s="42" t="inlineStr">
        <is>
          <t>TC-M05</t>
        </is>
      </c>
      <c r="B16" s="43" t="inlineStr">
        <is>
          <t>Failed validation blocks approve</t>
        </is>
      </c>
      <c r="C16" s="43" t="inlineStr">
        <is>
          <t>Propose route with violating segment; inspect findings; attempt Manager approval.</t>
        </is>
      </c>
      <c r="D16" s="44" t="inlineStr">
        <is>
          <t>Request visible for review, actionable findings; approval denied; current content unchanged.</t>
        </is>
      </c>
      <c r="E16" s="44" t="inlineStr">
        <is>
          <t>Tagged test build; scoped identities; controlled fixtures; required implementation available.</t>
        </is>
      </c>
      <c r="F16" s="42" t="inlineStr">
        <is>
          <t>Pending</t>
        </is>
      </c>
      <c r="G16" s="42" t="inlineStr"/>
      <c r="H16" s="42" t="inlineStr"/>
      <c r="I16" s="42" t="inlineStr">
        <is>
          <t>Pending</t>
        </is>
      </c>
      <c r="J16" s="42" t="inlineStr"/>
      <c r="K16" s="42" t="inlineStr"/>
      <c r="L16" s="42" t="inlineStr">
        <is>
          <t>Pending</t>
        </is>
      </c>
      <c r="M16" s="42" t="inlineStr"/>
      <c r="N16" s="42" t="inlineStr"/>
      <c r="O16" s="45" t="inlineStr">
        <is>
          <t>UC-05–12 / MF1-CR-01–03 | Integration | High</t>
        </is>
      </c>
      <c r="Q16" s="46" t="n"/>
    </row>
    <row r="17" outlineLevel="1" ht="90" customHeight="1">
      <c r="A17" s="42" t="inlineStr">
        <is>
          <t>TC-M06</t>
        </is>
      </c>
      <c r="B17" s="43" t="inlineStr">
        <is>
          <t>Incomplete evidence blocks approve</t>
        </is>
      </c>
      <c r="C17" s="43" t="inlineStr">
        <is>
          <t>Make restriction/altitude reference unavailable; validate; attempt approval.</t>
        </is>
      </c>
      <c r="D17" s="44" t="inlineStr">
        <is>
          <t>Incomplete/error shown, never pass; no applied mutation.</t>
        </is>
      </c>
      <c r="E17" s="44" t="inlineStr">
        <is>
          <t>Tagged test build; scoped identities; controlled fixtures; required implementation available.</t>
        </is>
      </c>
      <c r="F17" s="42" t="inlineStr">
        <is>
          <t>Pending</t>
        </is>
      </c>
      <c r="G17" s="42" t="inlineStr"/>
      <c r="H17" s="42" t="inlineStr"/>
      <c r="I17" s="42" t="inlineStr">
        <is>
          <t>Pending</t>
        </is>
      </c>
      <c r="J17" s="42" t="inlineStr"/>
      <c r="K17" s="42" t="inlineStr"/>
      <c r="L17" s="42" t="inlineStr">
        <is>
          <t>Pending</t>
        </is>
      </c>
      <c r="M17" s="42" t="inlineStr"/>
      <c r="N17" s="42" t="inlineStr"/>
      <c r="O17" s="45" t="inlineStr">
        <is>
          <t>UC-05–12 / MF1-CR-01–03 | Integration | High</t>
        </is>
      </c>
      <c r="Q17" s="51" t="n"/>
    </row>
    <row r="18" ht="90" customFormat="1" customHeight="1" s="32">
      <c r="A18" s="42" t="inlineStr">
        <is>
          <t>TC-M07</t>
        </is>
      </c>
      <c r="B18" s="43" t="inlineStr">
        <is>
          <t>Restriction changes invalidate evidence</t>
        </is>
      </c>
      <c r="C18" s="43" t="inlineStr">
        <is>
          <t>Validate proposal; change active restriction revision; attempt approve using earlier run.</t>
        </is>
      </c>
      <c r="D18" s="44" t="inlineStr">
        <is>
          <t>Stale result rejected or revalidation required; no earlier pass reused.</t>
        </is>
      </c>
      <c r="E18" s="44" t="inlineStr">
        <is>
          <t>Tagged test build; scoped identities; controlled fixtures; required implementation available.</t>
        </is>
      </c>
      <c r="F18" s="42" t="inlineStr">
        <is>
          <t>Pending</t>
        </is>
      </c>
      <c r="G18" s="42" t="inlineStr"/>
      <c r="H18" s="42" t="inlineStr"/>
      <c r="I18" s="42" t="inlineStr">
        <is>
          <t>Pending</t>
        </is>
      </c>
      <c r="J18" s="42" t="inlineStr"/>
      <c r="K18" s="42" t="inlineStr"/>
      <c r="L18" s="42" t="inlineStr">
        <is>
          <t>Pending</t>
        </is>
      </c>
      <c r="M18" s="42" t="inlineStr"/>
      <c r="N18" s="42" t="inlineStr"/>
      <c r="O18" s="45" t="inlineStr">
        <is>
          <t>UC-05–12 / MF1-CR-01–03 | Integration | High</t>
        </is>
      </c>
      <c r="Q18" s="41" t="n"/>
    </row>
    <row r="19" outlineLevel="1" ht="90" customHeight="1">
      <c r="A19" s="42" t="inlineStr">
        <is>
          <t>TC-M08</t>
        </is>
      </c>
      <c r="B19" s="43" t="inlineStr">
        <is>
          <t>Conflict and repeated decision</t>
        </is>
      </c>
      <c r="C19" s="43" t="inlineStr">
        <is>
          <t>Approve request; retry same decision and attempt opposing rejection / old pending request.</t>
        </is>
      </c>
      <c r="D19" s="44" t="inlineStr">
        <is>
          <t>No duplicate/conflicting terminal decision or silent overwrite; documented idempotent result or 409.</t>
        </is>
      </c>
      <c r="E19" s="44" t="inlineStr">
        <is>
          <t>Tagged test build; scoped identities; controlled fixtures; required implementation available.</t>
        </is>
      </c>
      <c r="F19" s="42" t="inlineStr">
        <is>
          <t>Pending</t>
        </is>
      </c>
      <c r="G19" s="42" t="inlineStr"/>
      <c r="H19" s="42" t="inlineStr"/>
      <c r="I19" s="42" t="inlineStr">
        <is>
          <t>Pending</t>
        </is>
      </c>
      <c r="J19" s="42" t="inlineStr"/>
      <c r="K19" s="42" t="inlineStr"/>
      <c r="L19" s="42" t="inlineStr">
        <is>
          <t>Pending</t>
        </is>
      </c>
      <c r="M19" s="42" t="inlineStr"/>
      <c r="N19" s="42" t="inlineStr"/>
      <c r="O19" s="45" t="inlineStr">
        <is>
          <t>UC-05–12 / MF1-CR-01–03 | Integration | High</t>
        </is>
      </c>
      <c r="Q19" s="46" t="n"/>
    </row>
    <row r="20" ht="90" customHeight="1">
      <c r="A20" s="42" t="inlineStr">
        <is>
          <t>TC-M09</t>
        </is>
      </c>
      <c r="B20" s="43" t="inlineStr">
        <is>
          <t>Waypoint/segment geometric validation</t>
        </is>
      </c>
      <c r="C20" s="43" t="inlineStr">
        <is>
          <t>Use outside coordinate range, empty route, crossing segment with endpoints outside zone and boundary-touch fixture.</t>
        </is>
      </c>
      <c r="D20" s="44" t="inlineStr">
        <is>
          <t>Malformed input rejected; segment violation detected; boundary and altitude policy follow configured confirmed rules.</t>
        </is>
      </c>
      <c r="E20" s="44" t="inlineStr">
        <is>
          <t>Tagged test build; scoped identities; controlled fixtures; required implementation available.</t>
        </is>
      </c>
      <c r="F20" s="42" t="inlineStr">
        <is>
          <t>Pending</t>
        </is>
      </c>
      <c r="G20" s="42" t="inlineStr"/>
      <c r="H20" s="42" t="inlineStr"/>
      <c r="I20" s="42" t="inlineStr">
        <is>
          <t>Pending</t>
        </is>
      </c>
      <c r="J20" s="42" t="inlineStr"/>
      <c r="K20" s="42" t="inlineStr"/>
      <c r="L20" s="42" t="inlineStr">
        <is>
          <t>Pending</t>
        </is>
      </c>
      <c r="M20" s="42" t="inlineStr"/>
      <c r="N20" s="42" t="inlineStr"/>
      <c r="O20" s="45" t="inlineStr">
        <is>
          <t>UC-05–12 / MF1-CR-01–03 | Integration | High</t>
        </is>
      </c>
    </row>
    <row r="21" ht="90" customHeight="1">
      <c r="A21" s="42" t="inlineStr">
        <is>
          <t>TC-M10</t>
        </is>
      </c>
      <c r="B21" s="43" t="inlineStr">
        <is>
          <t>Cross-scope permission</t>
        </is>
      </c>
      <c r="C21" s="43" t="inlineStr">
        <is>
          <t>Use another Operator token for detail/update/history/validation; use Operator for approve/reject.</t>
        </is>
      </c>
      <c r="D21" s="44" t="inlineStr">
        <is>
          <t>403/404 as defined; no data exposure or mutation.</t>
        </is>
      </c>
      <c r="E21" s="44" t="inlineStr">
        <is>
          <t>Tagged test build; scoped identities; controlled fixtures; required implementation available.</t>
        </is>
      </c>
      <c r="F21" s="42" t="inlineStr">
        <is>
          <t>Pending</t>
        </is>
      </c>
      <c r="G21" s="42" t="inlineStr"/>
      <c r="H21" s="42" t="inlineStr"/>
      <c r="I21" s="42" t="inlineStr">
        <is>
          <t>Pending</t>
        </is>
      </c>
      <c r="J21" s="42" t="inlineStr"/>
      <c r="K21" s="42" t="inlineStr"/>
      <c r="L21" s="42" t="inlineStr">
        <is>
          <t>Pending</t>
        </is>
      </c>
      <c r="M21" s="42" t="inlineStr"/>
      <c r="N21" s="42" t="inlineStr"/>
      <c r="O21" s="45" t="inlineStr">
        <is>
          <t>UC-05–12 / MF1-CR-01–03 | Integration | High</t>
        </is>
      </c>
    </row>
    <row r="22" ht="90" customHeight="1">
      <c r="A22" s="42" t="inlineStr">
        <is>
          <t>TC-M11</t>
        </is>
      </c>
      <c r="B22" s="43" t="inlineStr">
        <is>
          <t>Cancel before execution</t>
        </is>
      </c>
      <c r="C22" s="43" t="inlineStr">
        <is>
          <t>Cancel eligible plan with reason; then attempt cancellation during execution and approve old pending update.</t>
        </is>
      </c>
      <c r="D22" s="44" t="inlineStr">
        <is>
          <t>Eligible cancel recorded; executing cancel denied; cancelled mission cannot receive stale proposal application.</t>
        </is>
      </c>
      <c r="E22" s="44" t="inlineStr">
        <is>
          <t>Tagged test build; scoped identities; controlled fixtures; required implementation available.</t>
        </is>
      </c>
      <c r="F22" s="42" t="inlineStr">
        <is>
          <t>Pending</t>
        </is>
      </c>
      <c r="G22" s="42" t="inlineStr"/>
      <c r="H22" s="42" t="inlineStr"/>
      <c r="I22" s="42" t="inlineStr">
        <is>
          <t>Pending</t>
        </is>
      </c>
      <c r="J22" s="42" t="inlineStr"/>
      <c r="K22" s="42" t="inlineStr"/>
      <c r="L22" s="42" t="inlineStr">
        <is>
          <t>Pending</t>
        </is>
      </c>
      <c r="M22" s="42" t="inlineStr"/>
      <c r="N22" s="42" t="inlineStr"/>
      <c r="O22" s="45" t="inlineStr">
        <is>
          <t>UC-05–12 / MF1-CR-01–03 | Integration | High</t>
        </is>
      </c>
    </row>
    <row r="23" ht="90" customHeight="1">
      <c r="A23" s="42" t="inlineStr">
        <is>
          <t>TC-M12</t>
        </is>
      </c>
      <c r="B23" s="43" t="inlineStr">
        <is>
          <t>Atomic rollback on apply failure</t>
        </is>
      </c>
      <c r="C23" s="43" t="inlineStr">
        <is>
          <t>Inject persistence failure between metadata and waypoint replacement; approve in disposable DB fixture.</t>
        </is>
      </c>
      <c r="D23" s="44" t="inlineStr">
        <is>
          <t>Transaction rolls back content/request/decision consistently; original mission remains intact.</t>
        </is>
      </c>
      <c r="E23" s="44" t="inlineStr">
        <is>
          <t>Tagged test build; scoped identities; controlled fixtures; required implementation available.</t>
        </is>
      </c>
      <c r="F23" s="42" t="inlineStr">
        <is>
          <t>Pending</t>
        </is>
      </c>
      <c r="G23" s="42" t="inlineStr"/>
      <c r="H23" s="42" t="inlineStr"/>
      <c r="I23" s="42" t="inlineStr">
        <is>
          <t>Pending</t>
        </is>
      </c>
      <c r="J23" s="42" t="inlineStr"/>
      <c r="K23" s="42" t="inlineStr"/>
      <c r="L23" s="42" t="inlineStr">
        <is>
          <t>Pending</t>
        </is>
      </c>
      <c r="M23" s="42" t="inlineStr"/>
      <c r="N23" s="42" t="inlineStr"/>
      <c r="O23" s="45" t="inlineStr">
        <is>
          <t>UC-05–12 / MF1-CR-01–03 | Integration | High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Height="0" firstPageNumber="0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2:R100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Telemetry</t>
        </is>
      </c>
      <c r="C2" s="156" t="n"/>
      <c r="D2" s="156" t="n"/>
      <c r="E2" s="157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UC-13–14 / MF2-CR-01</t>
        </is>
      </c>
      <c r="C3" s="158" t="n"/>
      <c r="D3" s="158" t="n"/>
      <c r="E3" s="159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COUNTA(A12:A19)</f>
        <v/>
      </c>
      <c r="C4" s="158" t="n"/>
      <c r="D4" s="158" t="n"/>
      <c r="E4" s="159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COUNTIF(F12:F19,"Passed")</f>
        <v/>
      </c>
      <c r="C6" s="92">
        <f>COUNTIF(F12:F19,"Failed")</f>
        <v/>
      </c>
      <c r="D6" s="92">
        <f>COUNTIF(F12:F19,"Pending")</f>
        <v/>
      </c>
      <c r="E6" s="98">
        <f>COUNTIF(F12:F19,"N/A")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COUNTIF(I12:I19,"Passed")</f>
        <v/>
      </c>
      <c r="C7" s="92">
        <f>COUNTIF(I12:I19,"Failed")</f>
        <v/>
      </c>
      <c r="D7" s="92">
        <f>COUNTIF(I12:I19,"Pending")</f>
        <v/>
      </c>
      <c r="E7" s="98">
        <f>COUNTIF(I12:I19,"N/A")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COUNTIF(L12:L19,"Passed")</f>
        <v/>
      </c>
      <c r="C8" s="96">
        <f>COUNTIF(L12:L19,"Failed")</f>
        <v/>
      </c>
      <c r="D8" s="96">
        <f>COUNTIF(L12:L19,"Pending")</f>
        <v/>
      </c>
      <c r="E8" s="97">
        <f>COUNTIF(L12:L19,"N/A")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Telemetry functions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90" customFormat="1" customHeight="1" s="47">
      <c r="A12" s="42" t="inlineStr">
        <is>
          <t>TC-T01</t>
        </is>
      </c>
      <c r="B12" s="43" t="inlineStr">
        <is>
          <t>Accept normalized telemetry</t>
        </is>
      </c>
      <c r="C12" s="43" t="inlineStr">
        <is>
          <t>POST valid mission/UAV sample using integration credentials; get latest.</t>
        </is>
      </c>
      <c r="D12" s="44" t="inlineStr">
        <is>
          <t>Sample persisted; source and receive times retained; authorized latest matches newest valid projection.</t>
        </is>
      </c>
      <c r="E12" s="44" t="inlineStr">
        <is>
          <t>Tagged test build; scoped identities; controlled fixtures; required implementation available.</t>
        </is>
      </c>
      <c r="F12" s="42" t="inlineStr">
        <is>
          <t>Pending</t>
        </is>
      </c>
      <c r="G12" s="42" t="inlineStr"/>
      <c r="H12" s="42" t="inlineStr"/>
      <c r="I12" s="42" t="inlineStr">
        <is>
          <t>Pending</t>
        </is>
      </c>
      <c r="J12" s="42" t="inlineStr"/>
      <c r="K12" s="42" t="inlineStr"/>
      <c r="L12" s="42" t="inlineStr">
        <is>
          <t>Pending</t>
        </is>
      </c>
      <c r="M12" s="42" t="inlineStr"/>
      <c r="N12" s="42" t="inlineStr"/>
      <c r="O12" s="45" t="inlineStr">
        <is>
          <t>UC-13–14 / MF2-CR-01 | Integration | High</t>
        </is>
      </c>
      <c r="Q12" s="46" t="n"/>
    </row>
    <row r="13" outlineLevel="1" ht="90" customHeight="1">
      <c r="A13" s="42" t="inlineStr">
        <is>
          <t>TC-T02</t>
        </is>
      </c>
      <c r="B13" s="43" t="inlineStr">
        <is>
          <t>Idempotent replay</t>
        </is>
      </c>
      <c r="C13" s="43" t="inlineStr">
        <is>
          <t>POST same idempotency key twice.</t>
        </is>
      </c>
      <c r="D13" s="44" t="inlineStr">
        <is>
          <t>No extra persisted duplicate or repeated incident for replay.</t>
        </is>
      </c>
      <c r="E13" s="44" t="inlineStr">
        <is>
          <t>Tagged test build; scoped identities; controlled fixtures; required implementation available.</t>
        </is>
      </c>
      <c r="F13" s="42" t="inlineStr">
        <is>
          <t>Pending</t>
        </is>
      </c>
      <c r="G13" s="42" t="inlineStr"/>
      <c r="H13" s="42" t="inlineStr"/>
      <c r="I13" s="42" t="inlineStr">
        <is>
          <t>Pending</t>
        </is>
      </c>
      <c r="J13" s="42" t="inlineStr"/>
      <c r="K13" s="42" t="inlineStr"/>
      <c r="L13" s="42" t="inlineStr">
        <is>
          <t>Pending</t>
        </is>
      </c>
      <c r="M13" s="42" t="inlineStr"/>
      <c r="N13" s="42" t="inlineStr"/>
      <c r="O13" s="45" t="inlineStr">
        <is>
          <t>UC-13–14 / MF2-CR-01 | Integration | High</t>
        </is>
      </c>
      <c r="Q13" s="46" t="n"/>
    </row>
    <row r="14" outlineLevel="1" ht="90" customHeight="1">
      <c r="A14" s="42" t="inlineStr">
        <is>
          <t>TC-T03</t>
        </is>
      </c>
      <c r="B14" s="43" t="inlineStr">
        <is>
          <t>UAV association mismatch</t>
        </is>
      </c>
      <c r="C14" s="43" t="inlineStr">
        <is>
          <t>POST sample with mission assigned to different UAV.</t>
        </is>
      </c>
      <c r="D14" s="44" t="inlineStr">
        <is>
          <t>Rejected with contract error; no corrupted latest projection.</t>
        </is>
      </c>
      <c r="E14" s="44" t="inlineStr">
        <is>
          <t>Tagged test build; scoped identities; controlled fixtures; required implementation available.</t>
        </is>
      </c>
      <c r="F14" s="42" t="inlineStr">
        <is>
          <t>Pending</t>
        </is>
      </c>
      <c r="G14" s="42" t="inlineStr"/>
      <c r="H14" s="42" t="inlineStr"/>
      <c r="I14" s="42" t="inlineStr">
        <is>
          <t>Pending</t>
        </is>
      </c>
      <c r="J14" s="42" t="inlineStr"/>
      <c r="K14" s="42" t="inlineStr"/>
      <c r="L14" s="42" t="inlineStr">
        <is>
          <t>Pending</t>
        </is>
      </c>
      <c r="M14" s="42" t="inlineStr"/>
      <c r="N14" s="42" t="inlineStr"/>
      <c r="O14" s="45" t="inlineStr">
        <is>
          <t>UC-13–14 / MF2-CR-01 | Integration | High</t>
        </is>
      </c>
      <c r="Q14" s="46" t="n"/>
    </row>
    <row r="15" ht="90" customFormat="1" customHeight="1" s="32">
      <c r="A15" s="42" t="inlineStr">
        <is>
          <t>TC-T04</t>
        </is>
      </c>
      <c r="B15" s="43" t="inlineStr">
        <is>
          <t>Out-of-order / invalid sample</t>
        </is>
      </c>
      <c r="C15" s="43" t="inlineStr">
        <is>
          <t>Send older sample after newer one; send invalid coordinate/time/metric fixture.</t>
        </is>
      </c>
      <c r="D15" s="44" t="inlineStr">
        <is>
          <t>Historical/invalid policy explicit; valid latest does not move backward; unknown values never become zero.</t>
        </is>
      </c>
      <c r="E15" s="44" t="inlineStr">
        <is>
          <t>Tagged test build; scoped identities; controlled fixtures; required implementation available.</t>
        </is>
      </c>
      <c r="F15" s="42" t="inlineStr">
        <is>
          <t>Pending</t>
        </is>
      </c>
      <c r="G15" s="42" t="inlineStr"/>
      <c r="H15" s="42" t="inlineStr"/>
      <c r="I15" s="42" t="inlineStr">
        <is>
          <t>Pending</t>
        </is>
      </c>
      <c r="J15" s="42" t="inlineStr"/>
      <c r="K15" s="42" t="inlineStr"/>
      <c r="L15" s="42" t="inlineStr">
        <is>
          <t>Pending</t>
        </is>
      </c>
      <c r="M15" s="42" t="inlineStr"/>
      <c r="N15" s="42" t="inlineStr"/>
      <c r="O15" s="45" t="inlineStr">
        <is>
          <t>UC-13–14 / MF2-CR-01 | Integration | High</t>
        </is>
      </c>
      <c r="Q15" s="41" t="n"/>
    </row>
    <row r="16" outlineLevel="1" ht="90" customHeight="1">
      <c r="A16" s="42" t="inlineStr">
        <is>
          <t>TC-T05</t>
        </is>
      </c>
      <c r="B16" s="43" t="inlineStr">
        <is>
          <t>Snapshot and reconnect</t>
        </is>
      </c>
      <c r="C16" s="43" t="inlineStr">
        <is>
          <t>Open SSE as authorized user; disconnect; reconnect and reload latest.</t>
        </is>
      </c>
      <c r="D16" s="44" t="inlineStr">
        <is>
          <t>Current snapshot restored; stale/offline state accurate; no claim of durable cursor replay without support.</t>
        </is>
      </c>
      <c r="E16" s="44" t="inlineStr">
        <is>
          <t>Tagged test build; scoped identities; controlled fixtures; required implementation available.</t>
        </is>
      </c>
      <c r="F16" s="42" t="inlineStr">
        <is>
          <t>Pending</t>
        </is>
      </c>
      <c r="G16" s="42" t="inlineStr"/>
      <c r="H16" s="42" t="inlineStr"/>
      <c r="I16" s="42" t="inlineStr">
        <is>
          <t>Pending</t>
        </is>
      </c>
      <c r="J16" s="42" t="inlineStr"/>
      <c r="K16" s="42" t="inlineStr"/>
      <c r="L16" s="42" t="inlineStr">
        <is>
          <t>Pending</t>
        </is>
      </c>
      <c r="M16" s="42" t="inlineStr"/>
      <c r="N16" s="42" t="inlineStr"/>
      <c r="O16" s="45" t="inlineStr">
        <is>
          <t>UC-13–14 / MF2-CR-01 | Integration | High</t>
        </is>
      </c>
      <c r="Q16" s="46" t="n"/>
    </row>
    <row r="17" outlineLevel="1" ht="90" customHeight="1">
      <c r="A17" s="42" t="inlineStr">
        <is>
          <t>TC-T06</t>
        </is>
      </c>
      <c r="B17" s="43" t="inlineStr">
        <is>
          <t>Cross-scope stream</t>
        </is>
      </c>
      <c r="C17" s="43" t="inlineStr">
        <is>
          <t>Request other Operator mission latest/stream/incidents.</t>
        </is>
      </c>
      <c r="D17" s="44" t="inlineStr">
        <is>
          <t>Access denied, no telemetry or incident evidence leaked.</t>
        </is>
      </c>
      <c r="E17" s="44" t="inlineStr">
        <is>
          <t>Tagged test build; scoped identities; controlled fixtures; required implementation available.</t>
        </is>
      </c>
      <c r="F17" s="42" t="inlineStr">
        <is>
          <t>Pending</t>
        </is>
      </c>
      <c r="G17" s="42" t="inlineStr"/>
      <c r="H17" s="42" t="inlineStr"/>
      <c r="I17" s="42" t="inlineStr">
        <is>
          <t>Pending</t>
        </is>
      </c>
      <c r="J17" s="42" t="inlineStr"/>
      <c r="K17" s="42" t="inlineStr"/>
      <c r="L17" s="42" t="inlineStr">
        <is>
          <t>Pending</t>
        </is>
      </c>
      <c r="M17" s="42" t="inlineStr"/>
      <c r="N17" s="42" t="inlineStr"/>
      <c r="O17" s="45" t="inlineStr">
        <is>
          <t>UC-13–14 / MF2-CR-01 | Integration | High</t>
        </is>
      </c>
      <c r="Q17" s="51" t="n"/>
    </row>
    <row r="18" ht="90" customFormat="1" customHeight="1" s="32">
      <c r="A18" s="42" t="inlineStr">
        <is>
          <t>TC-T07</t>
        </is>
      </c>
      <c r="B18" s="43" t="inlineStr">
        <is>
          <t>Communication loss with no new packet</t>
        </is>
      </c>
      <c r="C18" s="43" t="inlineStr">
        <is>
          <t>Stop simulator samples beyond configured threshold without sending another packet.</t>
        </is>
      </c>
      <c r="D18" s="44" t="inlineStr">
        <is>
          <t>Background timer creates one loss episode/alert; repeated timer ticks deduplicate.</t>
        </is>
      </c>
      <c r="E18" s="44" t="inlineStr">
        <is>
          <t>Tagged test build; scoped identities; controlled fixtures; required implementation available.</t>
        </is>
      </c>
      <c r="F18" s="42" t="inlineStr">
        <is>
          <t>Pending</t>
        </is>
      </c>
      <c r="G18" s="42" t="inlineStr"/>
      <c r="H18" s="42" t="inlineStr"/>
      <c r="I18" s="42" t="inlineStr">
        <is>
          <t>Pending</t>
        </is>
      </c>
      <c r="J18" s="42" t="inlineStr"/>
      <c r="K18" s="42" t="inlineStr"/>
      <c r="L18" s="42" t="inlineStr">
        <is>
          <t>Pending</t>
        </is>
      </c>
      <c r="M18" s="42" t="inlineStr"/>
      <c r="N18" s="42" t="inlineStr"/>
      <c r="O18" s="45" t="inlineStr">
        <is>
          <t>UC-13–14 / MF2-CR-01 | Integration | High</t>
        </is>
      </c>
      <c r="Q18" s="41" t="n"/>
    </row>
    <row r="19" outlineLevel="1" ht="90" customHeight="1">
      <c r="A19" s="42" t="inlineStr">
        <is>
          <t>TC-T08</t>
        </is>
      </c>
      <c r="B19" s="43" t="inlineStr">
        <is>
          <t>Realtime measurement</t>
        </is>
      </c>
      <c r="C19" s="43" t="inlineStr">
        <is>
          <t>Replay defined sample volume on recorded hardware; timestamp ingestion, persistence, event receipt.</t>
        </is>
      </c>
      <c r="D19" s="44" t="inlineStr">
        <is>
          <t>Capture p50/p95 latency, loss and duplicates with build/environment; compare only against supervisor-confirmed targets.</t>
        </is>
      </c>
      <c r="E19" s="44" t="inlineStr">
        <is>
          <t>Tagged test build; scoped identities; controlled fixtures; required implementation available.</t>
        </is>
      </c>
      <c r="F19" s="42" t="inlineStr">
        <is>
          <t>Pending</t>
        </is>
      </c>
      <c r="G19" s="42" t="inlineStr"/>
      <c r="H19" s="42" t="inlineStr"/>
      <c r="I19" s="42" t="inlineStr">
        <is>
          <t>Pending</t>
        </is>
      </c>
      <c r="J19" s="42" t="inlineStr"/>
      <c r="K19" s="42" t="inlineStr"/>
      <c r="L19" s="42" t="inlineStr">
        <is>
          <t>Pending</t>
        </is>
      </c>
      <c r="M19" s="42" t="inlineStr"/>
      <c r="N19" s="42" t="inlineStr"/>
      <c r="O19" s="45" t="inlineStr">
        <is>
          <t>UC-13–14 / MF2-CR-01 | Integration | High</t>
        </is>
      </c>
      <c r="Q19" s="4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Height="0" firstPageNumber="0" horizontalDpi="300" verticalDpi="300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2:R100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Incidents</t>
        </is>
      </c>
      <c r="C2" s="156" t="n"/>
      <c r="D2" s="156" t="n"/>
      <c r="E2" s="157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UC-15–16 / MF2-CR-02</t>
        </is>
      </c>
      <c r="C3" s="158" t="n"/>
      <c r="D3" s="158" t="n"/>
      <c r="E3" s="159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COUNTA(A12:A17)</f>
        <v/>
      </c>
      <c r="C4" s="158" t="n"/>
      <c r="D4" s="158" t="n"/>
      <c r="E4" s="159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COUNTIF(F12:F17,"Passed")</f>
        <v/>
      </c>
      <c r="C6" s="92">
        <f>COUNTIF(F12:F17,"Failed")</f>
        <v/>
      </c>
      <c r="D6" s="92">
        <f>COUNTIF(F12:F17,"Pending")</f>
        <v/>
      </c>
      <c r="E6" s="98">
        <f>COUNTIF(F12:F17,"N/A")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COUNTIF(I12:I17,"Passed")</f>
        <v/>
      </c>
      <c r="C7" s="92">
        <f>COUNTIF(I12:I17,"Failed")</f>
        <v/>
      </c>
      <c r="D7" s="92">
        <f>COUNTIF(I12:I17,"Pending")</f>
        <v/>
      </c>
      <c r="E7" s="98">
        <f>COUNTIF(I12:I17,"N/A")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COUNTIF(L12:L17,"Passed")</f>
        <v/>
      </c>
      <c r="C8" s="96">
        <f>COUNTIF(L12:L17,"Failed")</f>
        <v/>
      </c>
      <c r="D8" s="96">
        <f>COUNTIF(L12:L17,"Pending")</f>
        <v/>
      </c>
      <c r="E8" s="97">
        <f>COUNTIF(L12:L17,"N/A")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Incidents functions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90" customFormat="1" customHeight="1" s="47">
      <c r="A12" s="42" t="inlineStr">
        <is>
          <t>TC-I01</t>
        </is>
      </c>
      <c r="B12" s="43" t="inlineStr">
        <is>
          <t>Rule thresholds and null values</t>
        </is>
      </c>
      <c r="C12" s="43" t="inlineStr">
        <is>
          <t>Use below/equal/above boundary battery/altitude/speed fixtures, then null values.</t>
        </is>
      </c>
      <c r="D12" s="44" t="inlineStr">
        <is>
          <t>Unit/reference-aware rules; missing value suppresses that rule with diagnostic; thresholds configurable.</t>
        </is>
      </c>
      <c r="E12" s="44" t="inlineStr">
        <is>
          <t>Tagged test build; scoped identities; controlled fixtures; required implementation available.</t>
        </is>
      </c>
      <c r="F12" s="42" t="inlineStr">
        <is>
          <t>Pending</t>
        </is>
      </c>
      <c r="G12" s="42" t="inlineStr"/>
      <c r="H12" s="42" t="inlineStr"/>
      <c r="I12" s="42" t="inlineStr">
        <is>
          <t>Pending</t>
        </is>
      </c>
      <c r="J12" s="42" t="inlineStr"/>
      <c r="K12" s="42" t="inlineStr"/>
      <c r="L12" s="42" t="inlineStr">
        <is>
          <t>Pending</t>
        </is>
      </c>
      <c r="M12" s="42" t="inlineStr"/>
      <c r="N12" s="42" t="inlineStr"/>
      <c r="O12" s="45" t="inlineStr">
        <is>
          <t>UC-15–16 / MF2-CR-02 | Integration | High</t>
        </is>
      </c>
      <c r="Q12" s="46" t="n"/>
    </row>
    <row r="13" outlineLevel="1" ht="90" customHeight="1">
      <c r="A13" s="42" t="inlineStr">
        <is>
          <t>TC-I02</t>
        </is>
      </c>
      <c r="B13" s="43" t="inlineStr">
        <is>
          <t>Episode deduplication and recovery</t>
        </is>
      </c>
      <c r="C13" s="43" t="inlineStr">
        <is>
          <t>Repeat same abnormal condition then recover and trigger a new episode.</t>
        </is>
      </c>
      <c r="D13" s="44" t="inlineStr">
        <is>
          <t>One incident per episode; new incident only after documented recovery rule.</t>
        </is>
      </c>
      <c r="E13" s="44" t="inlineStr">
        <is>
          <t>Tagged test build; scoped identities; controlled fixtures; required implementation available.</t>
        </is>
      </c>
      <c r="F13" s="42" t="inlineStr">
        <is>
          <t>Pending</t>
        </is>
      </c>
      <c r="G13" s="42" t="inlineStr"/>
      <c r="H13" s="42" t="inlineStr"/>
      <c r="I13" s="42" t="inlineStr">
        <is>
          <t>Pending</t>
        </is>
      </c>
      <c r="J13" s="42" t="inlineStr"/>
      <c r="K13" s="42" t="inlineStr"/>
      <c r="L13" s="42" t="inlineStr">
        <is>
          <t>Pending</t>
        </is>
      </c>
      <c r="M13" s="42" t="inlineStr"/>
      <c r="N13" s="42" t="inlineStr"/>
      <c r="O13" s="45" t="inlineStr">
        <is>
          <t>UC-15–16 / MF2-CR-02 | Integration | High</t>
        </is>
      </c>
      <c r="Q13" s="46" t="n"/>
    </row>
    <row r="14" outlineLevel="1" ht="90" customHeight="1">
      <c r="A14" s="42" t="inlineStr">
        <is>
          <t>TC-I03</t>
        </is>
      </c>
      <c r="B14" s="43" t="inlineStr">
        <is>
          <t>Frozen evidence</t>
        </is>
      </c>
      <c r="C14" s="43" t="inlineStr">
        <is>
          <t>Create incident; ingest new telemetry; inspect incident details.</t>
        </is>
      </c>
      <c r="D14" s="44" t="inlineStr">
        <is>
          <t>Source evidence stays frozen and timestamped; live changes do not rewrite it.</t>
        </is>
      </c>
      <c r="E14" s="44" t="inlineStr">
        <is>
          <t>Tagged test build; scoped identities; controlled fixtures; required implementation available.</t>
        </is>
      </c>
      <c r="F14" s="42" t="inlineStr">
        <is>
          <t>Pending</t>
        </is>
      </c>
      <c r="G14" s="42" t="inlineStr"/>
      <c r="H14" s="42" t="inlineStr"/>
      <c r="I14" s="42" t="inlineStr">
        <is>
          <t>Pending</t>
        </is>
      </c>
      <c r="J14" s="42" t="inlineStr"/>
      <c r="K14" s="42" t="inlineStr"/>
      <c r="L14" s="42" t="inlineStr">
        <is>
          <t>Pending</t>
        </is>
      </c>
      <c r="M14" s="42" t="inlineStr"/>
      <c r="N14" s="42" t="inlineStr"/>
      <c r="O14" s="45" t="inlineStr">
        <is>
          <t>UC-15–16 / MF2-CR-02 | Integration | High</t>
        </is>
      </c>
      <c r="Q14" s="46" t="n"/>
    </row>
    <row r="15" ht="90" customFormat="1" customHeight="1" s="32">
      <c r="A15" s="42" t="inlineStr">
        <is>
          <t>TC-I04</t>
        </is>
      </c>
      <c r="B15" s="43" t="inlineStr">
        <is>
          <t>Acknowledge</t>
        </is>
      </c>
      <c r="C15" s="43" t="inlineStr">
        <is>
          <t>Authorized Operator/Manager acknowledges Open incident; retry.</t>
        </is>
      </c>
      <c r="D15" s="44" t="inlineStr">
        <is>
          <t>Actor/time/event recorded; no duplicate event or conflicting state.</t>
        </is>
      </c>
      <c r="E15" s="44" t="inlineStr">
        <is>
          <t>Tagged test build; scoped identities; controlled fixtures; required implementation available.</t>
        </is>
      </c>
      <c r="F15" s="42" t="inlineStr">
        <is>
          <t>Pending</t>
        </is>
      </c>
      <c r="G15" s="42" t="inlineStr"/>
      <c r="H15" s="42" t="inlineStr"/>
      <c r="I15" s="42" t="inlineStr">
        <is>
          <t>Pending</t>
        </is>
      </c>
      <c r="J15" s="42" t="inlineStr"/>
      <c r="K15" s="42" t="inlineStr"/>
      <c r="L15" s="42" t="inlineStr">
        <is>
          <t>Pending</t>
        </is>
      </c>
      <c r="M15" s="42" t="inlineStr"/>
      <c r="N15" s="42" t="inlineStr"/>
      <c r="O15" s="45" t="inlineStr">
        <is>
          <t>UC-15–16 / MF2-CR-02 | Integration | High</t>
        </is>
      </c>
      <c r="Q15" s="41" t="n"/>
    </row>
    <row r="16" outlineLevel="1" ht="90" customHeight="1">
      <c r="A16" s="42" t="inlineStr">
        <is>
          <t>TC-I05</t>
        </is>
      </c>
      <c r="B16" s="43" t="inlineStr">
        <is>
          <t>Manager resolve with reason</t>
        </is>
      </c>
      <c r="C16" s="43" t="inlineStr">
        <is>
          <t>Try Operator resolve; Manager missing reason; Manager valid reason.</t>
        </is>
      </c>
      <c r="D16" s="44" t="inlineStr">
        <is>
          <t>Operator denied; missing reason rejected; valid Manager transition Resolved with immutable timeline.</t>
        </is>
      </c>
      <c r="E16" s="44" t="inlineStr">
        <is>
          <t>Tagged test build; scoped identities; controlled fixtures; required implementation available.</t>
        </is>
      </c>
      <c r="F16" s="42" t="inlineStr">
        <is>
          <t>Pending</t>
        </is>
      </c>
      <c r="G16" s="42" t="inlineStr"/>
      <c r="H16" s="42" t="inlineStr"/>
      <c r="I16" s="42" t="inlineStr">
        <is>
          <t>Pending</t>
        </is>
      </c>
      <c r="J16" s="42" t="inlineStr"/>
      <c r="K16" s="42" t="inlineStr"/>
      <c r="L16" s="42" t="inlineStr">
        <is>
          <t>Pending</t>
        </is>
      </c>
      <c r="M16" s="42" t="inlineStr"/>
      <c r="N16" s="42" t="inlineStr"/>
      <c r="O16" s="45" t="inlineStr">
        <is>
          <t>UC-15–16 / MF2-CR-02 | Integration | High</t>
        </is>
      </c>
      <c r="Q16" s="46" t="n"/>
    </row>
    <row r="17" outlineLevel="1" ht="90" customHeight="1">
      <c r="A17" s="42" t="inlineStr">
        <is>
          <t>TC-I06</t>
        </is>
      </c>
      <c r="B17" s="43" t="inlineStr">
        <is>
          <t>Durable alerts and filters</t>
        </is>
      </c>
      <c r="C17" s="43" t="inlineStr">
        <is>
          <t>Open incident list with paging/filter; disconnect alerts client; reconnect.</t>
        </is>
      </c>
      <c r="D17" s="44" t="inlineStr">
        <is>
          <t>Scope-correct stable results; persisted alert links to incident and survives reconnect.</t>
        </is>
      </c>
      <c r="E17" s="44" t="inlineStr">
        <is>
          <t>Tagged test build; scoped identities; controlled fixtures; required implementation available.</t>
        </is>
      </c>
      <c r="F17" s="42" t="inlineStr">
        <is>
          <t>Pending</t>
        </is>
      </c>
      <c r="G17" s="42" t="inlineStr"/>
      <c r="H17" s="42" t="inlineStr"/>
      <c r="I17" s="42" t="inlineStr">
        <is>
          <t>Pending</t>
        </is>
      </c>
      <c r="J17" s="42" t="inlineStr"/>
      <c r="K17" s="42" t="inlineStr"/>
      <c r="L17" s="42" t="inlineStr">
        <is>
          <t>Pending</t>
        </is>
      </c>
      <c r="M17" s="42" t="inlineStr"/>
      <c r="N17" s="42" t="inlineStr"/>
      <c r="O17" s="45" t="inlineStr">
        <is>
          <t>UC-15–16 / MF2-CR-02 | Integration | High</t>
        </is>
      </c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Height="0" firstPageNumber="0" horizontalDpi="300" verticalDpi="30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 fitToPage="1"/>
  </sheetPr>
  <dimension ref="A2:R100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History</t>
        </is>
      </c>
      <c r="C2" s="156" t="n"/>
      <c r="D2" s="156" t="n"/>
      <c r="E2" s="157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UC-17–18 / UC-22</t>
        </is>
      </c>
      <c r="C3" s="158" t="n"/>
      <c r="D3" s="158" t="n"/>
      <c r="E3" s="159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COUNTA(A12:A15)</f>
        <v/>
      </c>
      <c r="C4" s="158" t="n"/>
      <c r="D4" s="158" t="n"/>
      <c r="E4" s="159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COUNTIF(F12:F15,"Passed")</f>
        <v/>
      </c>
      <c r="C6" s="92">
        <f>COUNTIF(F12:F15,"Failed")</f>
        <v/>
      </c>
      <c r="D6" s="92">
        <f>COUNTIF(F12:F15,"Pending")</f>
        <v/>
      </c>
      <c r="E6" s="98">
        <f>COUNTIF(F12:F15,"N/A")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COUNTIF(I12:I15,"Passed")</f>
        <v/>
      </c>
      <c r="C7" s="92">
        <f>COUNTIF(I12:I15,"Failed")</f>
        <v/>
      </c>
      <c r="D7" s="92">
        <f>COUNTIF(I12:I15,"Pending")</f>
        <v/>
      </c>
      <c r="E7" s="98">
        <f>COUNTIF(I12:I15,"N/A")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COUNTIF(L12:L15,"Passed")</f>
        <v/>
      </c>
      <c r="C8" s="96">
        <f>COUNTIF(L12:L15,"Failed")</f>
        <v/>
      </c>
      <c r="D8" s="96">
        <f>COUNTIF(L12:L15,"Pending")</f>
        <v/>
      </c>
      <c r="E8" s="97">
        <f>COUNTIF(L12:L15,"N/A")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History functions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90" customFormat="1" customHeight="1" s="47">
      <c r="A12" s="42" t="inlineStr">
        <is>
          <t>TC-H01</t>
        </is>
      </c>
      <c r="B12" s="43" t="inlineStr">
        <is>
          <t>Report from known fixture</t>
        </is>
      </c>
      <c r="C12" s="43" t="inlineStr">
        <is>
          <t>Finalize permitted mission fixture with known samples and incident count; open report.</t>
        </is>
      </c>
      <c r="D12" s="44" t="inlineStr">
        <is>
          <t>Metrics match fixture units/coverage and authorized source records; no fabricated missing metrics.</t>
        </is>
      </c>
      <c r="E12" s="44" t="inlineStr">
        <is>
          <t>Tagged test build; scoped identities; controlled fixtures; required implementation available.</t>
        </is>
      </c>
      <c r="F12" s="42" t="inlineStr">
        <is>
          <t>Pending</t>
        </is>
      </c>
      <c r="G12" s="42" t="inlineStr"/>
      <c r="H12" s="42" t="inlineStr"/>
      <c r="I12" s="42" t="inlineStr">
        <is>
          <t>Pending</t>
        </is>
      </c>
      <c r="J12" s="42" t="inlineStr"/>
      <c r="K12" s="42" t="inlineStr"/>
      <c r="L12" s="42" t="inlineStr">
        <is>
          <t>Pending</t>
        </is>
      </c>
      <c r="M12" s="42" t="inlineStr"/>
      <c r="N12" s="42" t="inlineStr"/>
      <c r="O12" s="45" t="inlineStr">
        <is>
          <t>UC-17–18 / UC-22 | Integration | High</t>
        </is>
      </c>
      <c r="Q12" s="46" t="n"/>
    </row>
    <row r="13" outlineLevel="1" ht="90" customHeight="1">
      <c r="A13" s="42" t="inlineStr">
        <is>
          <t>TC-H02</t>
        </is>
      </c>
      <c r="B13" s="43" t="inlineStr">
        <is>
          <t>Sparse / missing telemetry</t>
        </is>
      </c>
      <c r="C13" s="43" t="inlineStr">
        <is>
          <t>Finalize empty or partial-coverage fixture.</t>
        </is>
      </c>
      <c r="D13" s="44" t="inlineStr">
        <is>
          <t>Unavailable metrics/coverage explicit; not zero or invented complete flight.</t>
        </is>
      </c>
      <c r="E13" s="44" t="inlineStr">
        <is>
          <t>Tagged test build; scoped identities; controlled fixtures; required implementation available.</t>
        </is>
      </c>
      <c r="F13" s="42" t="inlineStr">
        <is>
          <t>Pending</t>
        </is>
      </c>
      <c r="G13" s="42" t="inlineStr"/>
      <c r="H13" s="42" t="inlineStr"/>
      <c r="I13" s="42" t="inlineStr">
        <is>
          <t>Pending</t>
        </is>
      </c>
      <c r="J13" s="42" t="inlineStr"/>
      <c r="K13" s="42" t="inlineStr"/>
      <c r="L13" s="42" t="inlineStr">
        <is>
          <t>Pending</t>
        </is>
      </c>
      <c r="M13" s="42" t="inlineStr"/>
      <c r="N13" s="42" t="inlineStr"/>
      <c r="O13" s="45" t="inlineStr">
        <is>
          <t>UC-17–18 / UC-22 | Integration | High</t>
        </is>
      </c>
      <c r="Q13" s="46" t="n"/>
    </row>
    <row r="14" outlineLevel="1" ht="90" customHeight="1">
      <c r="A14" s="42" t="inlineStr">
        <is>
          <t>TC-H03</t>
        </is>
      </c>
      <c r="B14" s="43" t="inlineStr">
        <is>
          <t>History permissions</t>
        </is>
      </c>
      <c r="C14" s="43" t="inlineStr">
        <is>
          <t>Query filters, paging, detail and playback as two Operators and Manager.</t>
        </is>
      </c>
      <c r="D14" s="44" t="inlineStr">
        <is>
          <t>Own/managed scope enforced; source route and report refer to correct mission.</t>
        </is>
      </c>
      <c r="E14" s="44" t="inlineStr">
        <is>
          <t>Tagged test build; scoped identities; controlled fixtures; required implementation available.</t>
        </is>
      </c>
      <c r="F14" s="42" t="inlineStr">
        <is>
          <t>Pending</t>
        </is>
      </c>
      <c r="G14" s="42" t="inlineStr"/>
      <c r="H14" s="42" t="inlineStr"/>
      <c r="I14" s="42" t="inlineStr">
        <is>
          <t>Pending</t>
        </is>
      </c>
      <c r="J14" s="42" t="inlineStr"/>
      <c r="K14" s="42" t="inlineStr"/>
      <c r="L14" s="42" t="inlineStr">
        <is>
          <t>Pending</t>
        </is>
      </c>
      <c r="M14" s="42" t="inlineStr"/>
      <c r="N14" s="42" t="inlineStr"/>
      <c r="O14" s="45" t="inlineStr">
        <is>
          <t>UC-17–18 / UC-22 | Integration | High</t>
        </is>
      </c>
      <c r="Q14" s="46" t="n"/>
    </row>
    <row r="15" ht="90" customFormat="1" customHeight="1" s="32">
      <c r="A15" s="42" t="inlineStr">
        <is>
          <t>TC-H04</t>
        </is>
      </c>
      <c r="B15" s="43" t="inlineStr">
        <is>
          <t>Repeat finalize</t>
        </is>
      </c>
      <c r="C15" s="43" t="inlineStr">
        <is>
          <t>Finalize same execution twice; inspect report count and output.</t>
        </is>
      </c>
      <c r="D15" s="44" t="inlineStr">
        <is>
          <t>Idempotent behavior defined; no duplicate report or inconsistent totals; repeat-flight policy identified.</t>
        </is>
      </c>
      <c r="E15" s="44" t="inlineStr">
        <is>
          <t>Tagged test build; scoped identities; controlled fixtures; required implementation available.</t>
        </is>
      </c>
      <c r="F15" s="42" t="inlineStr">
        <is>
          <t>Pending</t>
        </is>
      </c>
      <c r="G15" s="42" t="inlineStr"/>
      <c r="H15" s="42" t="inlineStr"/>
      <c r="I15" s="42" t="inlineStr">
        <is>
          <t>Pending</t>
        </is>
      </c>
      <c r="J15" s="42" t="inlineStr"/>
      <c r="K15" s="42" t="inlineStr"/>
      <c r="L15" s="42" t="inlineStr">
        <is>
          <t>Pending</t>
        </is>
      </c>
      <c r="M15" s="42" t="inlineStr"/>
      <c r="N15" s="42" t="inlineStr"/>
      <c r="O15" s="45" t="inlineStr">
        <is>
          <t>UC-17–18 / UC-22 | Integration | High</t>
        </is>
      </c>
      <c r="Q15" s="41" t="n"/>
    </row>
    <row r="16" outlineLevel="1" ht="14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5" t="n"/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Height="0" firstPageNumber="0" horizontalDpi="300" verticalDpi="300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2:R100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AI</t>
        </is>
      </c>
      <c r="C2" s="156" t="n"/>
      <c r="D2" s="156" t="n"/>
      <c r="E2" s="157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UC-19–21 / AI-SCOPE-01</t>
        </is>
      </c>
      <c r="C3" s="158" t="n"/>
      <c r="D3" s="158" t="n"/>
      <c r="E3" s="159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COUNTA(A12:A16)</f>
        <v/>
      </c>
      <c r="C4" s="158" t="n"/>
      <c r="D4" s="158" t="n"/>
      <c r="E4" s="159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COUNTIF(F12:F16,"Passed")</f>
        <v/>
      </c>
      <c r="C6" s="92">
        <f>COUNTIF(F12:F16,"Failed")</f>
        <v/>
      </c>
      <c r="D6" s="92">
        <f>COUNTIF(F12:F16,"Pending")</f>
        <v/>
      </c>
      <c r="E6" s="98">
        <f>COUNTIF(F12:F16,"N/A")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COUNTIF(I12:I16,"Passed")</f>
        <v/>
      </c>
      <c r="C7" s="92">
        <f>COUNTIF(I12:I16,"Failed")</f>
        <v/>
      </c>
      <c r="D7" s="92">
        <f>COUNTIF(I12:I16,"Pending")</f>
        <v/>
      </c>
      <c r="E7" s="98">
        <f>COUNTIF(I12:I16,"N/A")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COUNTIF(L12:L16,"Passed")</f>
        <v/>
      </c>
      <c r="C8" s="96">
        <f>COUNTIF(L12:L16,"Failed")</f>
        <v/>
      </c>
      <c r="D8" s="96">
        <f>COUNTIF(L12:L16,"Pending")</f>
        <v/>
      </c>
      <c r="E8" s="97">
        <f>COUNTIF(L12:L16,"N/A")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AI functions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90" customFormat="1" customHeight="1" s="47">
      <c r="A12" s="42" t="inlineStr">
        <is>
          <t>TC-A01</t>
        </is>
      </c>
      <c r="B12" s="43" t="inlineStr">
        <is>
          <t>Provider advice provenance</t>
        </is>
      </c>
      <c r="C12" s="43" t="inlineStr">
        <is>
          <t>Request assessment for authorized mission/update with configured provider stub success.</t>
        </is>
      </c>
      <c r="D12" s="44" t="inlineStr">
        <is>
          <t>Result tied to input context/time/provider; advisory status explicit; no approve command.</t>
        </is>
      </c>
      <c r="E12" s="44" t="inlineStr">
        <is>
          <t>Tagged test build; scoped identities; controlled fixtures; required implementation available.</t>
        </is>
      </c>
      <c r="F12" s="42" t="inlineStr">
        <is>
          <t>Pending</t>
        </is>
      </c>
      <c r="G12" s="42" t="inlineStr"/>
      <c r="H12" s="42" t="inlineStr"/>
      <c r="I12" s="42" t="inlineStr">
        <is>
          <t>Pending</t>
        </is>
      </c>
      <c r="J12" s="42" t="inlineStr"/>
      <c r="K12" s="42" t="inlineStr"/>
      <c r="L12" s="42" t="inlineStr">
        <is>
          <t>Pending</t>
        </is>
      </c>
      <c r="M12" s="42" t="inlineStr"/>
      <c r="N12" s="42" t="inlineStr"/>
      <c r="O12" s="45" t="inlineStr">
        <is>
          <t>UC-19–21 / AI-SCOPE-01 | Integration | High</t>
        </is>
      </c>
      <c r="Q12" s="46" t="n"/>
    </row>
    <row r="13" outlineLevel="1" ht="90" customHeight="1">
      <c r="A13" s="42" t="inlineStr">
        <is>
          <t>TC-A02</t>
        </is>
      </c>
      <c r="B13" s="43" t="inlineStr">
        <is>
          <t>Timeout / rate limit / malformed output</t>
        </is>
      </c>
      <c r="C13" s="43" t="inlineStr">
        <is>
          <t>Stub timeout, 429 and invalid response.</t>
        </is>
      </c>
      <c r="D13" s="44" t="inlineStr">
        <is>
          <t>Useful unavailable/error state; bounded retry; mission content/approval preserved.</t>
        </is>
      </c>
      <c r="E13" s="44" t="inlineStr">
        <is>
          <t>Tagged test build; scoped identities; controlled fixtures; required implementation available.</t>
        </is>
      </c>
      <c r="F13" s="42" t="inlineStr">
        <is>
          <t>Pending</t>
        </is>
      </c>
      <c r="G13" s="42" t="inlineStr"/>
      <c r="H13" s="42" t="inlineStr"/>
      <c r="I13" s="42" t="inlineStr">
        <is>
          <t>Pending</t>
        </is>
      </c>
      <c r="J13" s="42" t="inlineStr"/>
      <c r="K13" s="42" t="inlineStr"/>
      <c r="L13" s="42" t="inlineStr">
        <is>
          <t>Pending</t>
        </is>
      </c>
      <c r="M13" s="42" t="inlineStr"/>
      <c r="N13" s="42" t="inlineStr"/>
      <c r="O13" s="45" t="inlineStr">
        <is>
          <t>UC-19–21 / AI-SCOPE-01 | Integration | High</t>
        </is>
      </c>
      <c r="Q13" s="46" t="n"/>
    </row>
    <row r="14" outlineLevel="1" ht="90" customHeight="1">
      <c r="A14" s="42" t="inlineStr">
        <is>
          <t>TC-A03</t>
        </is>
      </c>
      <c r="B14" s="43" t="inlineStr">
        <is>
          <t>Cross-scope and sensitive input</t>
        </is>
      </c>
      <c r="C14" s="43" t="inlineStr">
        <is>
          <t>Attempt other-user context; inspect sanitized provider request.</t>
        </is>
      </c>
      <c r="D14" s="44" t="inlineStr">
        <is>
          <t>Unauthorized context blocked; credentials/media secrets excluded from prompt/log.</t>
        </is>
      </c>
      <c r="E14" s="44" t="inlineStr">
        <is>
          <t>Tagged test build; scoped identities; controlled fixtures; required implementation available.</t>
        </is>
      </c>
      <c r="F14" s="42" t="inlineStr">
        <is>
          <t>Pending</t>
        </is>
      </c>
      <c r="G14" s="42" t="inlineStr"/>
      <c r="H14" s="42" t="inlineStr"/>
      <c r="I14" s="42" t="inlineStr">
        <is>
          <t>Pending</t>
        </is>
      </c>
      <c r="J14" s="42" t="inlineStr"/>
      <c r="K14" s="42" t="inlineStr"/>
      <c r="L14" s="42" t="inlineStr">
        <is>
          <t>Pending</t>
        </is>
      </c>
      <c r="M14" s="42" t="inlineStr"/>
      <c r="N14" s="42" t="inlineStr"/>
      <c r="O14" s="45" t="inlineStr">
        <is>
          <t>UC-19–21 / AI-SCOPE-01 | Integration | High</t>
        </is>
      </c>
      <c r="Q14" s="46" t="n"/>
    </row>
    <row r="15" ht="90" customFormat="1" customHeight="1" s="32">
      <c r="A15" s="42" t="inlineStr">
        <is>
          <t>TC-A04</t>
        </is>
      </c>
      <c r="B15" s="43" t="inlineStr">
        <is>
          <t>Changed request context</t>
        </is>
      </c>
      <c r="C15" s="43" t="inlineStr">
        <is>
          <t>Request advice; change proposal route; reopen earlier advice.</t>
        </is>
      </c>
      <c r="D15" s="44" t="inlineStr">
        <is>
          <t>Earlier advice marked with original context and cannot silently validate new route.</t>
        </is>
      </c>
      <c r="E15" s="44" t="inlineStr">
        <is>
          <t>Tagged test build; scoped identities; controlled fixtures; required implementation available.</t>
        </is>
      </c>
      <c r="F15" s="42" t="inlineStr">
        <is>
          <t>Pending</t>
        </is>
      </c>
      <c r="G15" s="42" t="inlineStr"/>
      <c r="H15" s="42" t="inlineStr"/>
      <c r="I15" s="42" t="inlineStr">
        <is>
          <t>Pending</t>
        </is>
      </c>
      <c r="J15" s="42" t="inlineStr"/>
      <c r="K15" s="42" t="inlineStr"/>
      <c r="L15" s="42" t="inlineStr">
        <is>
          <t>Pending</t>
        </is>
      </c>
      <c r="M15" s="42" t="inlineStr"/>
      <c r="N15" s="42" t="inlineStr"/>
      <c r="O15" s="45" t="inlineStr">
        <is>
          <t>UC-19–21 / AI-SCOPE-01 | Integration | High</t>
        </is>
      </c>
      <c r="Q15" s="41" t="n"/>
    </row>
    <row r="16" outlineLevel="1" ht="90" customHeight="1">
      <c r="A16" s="42" t="inlineStr">
        <is>
          <t>TC-A05</t>
        </is>
      </c>
      <c r="B16" s="43" t="inlineStr">
        <is>
          <t>Registered similarity retrieval gap</t>
        </is>
      </c>
      <c r="C16" s="43" t="inlineStr">
        <is>
          <t>After supervisor scope confirmation, query known historical corpus with ranked relevant examples.</t>
        </is>
      </c>
      <c r="D16" s="44" t="inlineStr">
        <is>
          <t>If retained, show Top-k mission IDs/similarity/incidents and measure relevance; remains Pending/Blocked until implemented.</t>
        </is>
      </c>
      <c r="E16" s="44" t="inlineStr">
        <is>
          <t>Tagged test build; scoped identities; controlled fixtures; required implementation available.</t>
        </is>
      </c>
      <c r="F16" s="42" t="inlineStr">
        <is>
          <t>Pending</t>
        </is>
      </c>
      <c r="G16" s="42" t="inlineStr"/>
      <c r="H16" s="42" t="inlineStr"/>
      <c r="I16" s="42" t="inlineStr">
        <is>
          <t>Pending</t>
        </is>
      </c>
      <c r="J16" s="42" t="inlineStr"/>
      <c r="K16" s="42" t="inlineStr"/>
      <c r="L16" s="42" t="inlineStr">
        <is>
          <t>Pending</t>
        </is>
      </c>
      <c r="M16" s="42" t="inlineStr"/>
      <c r="N16" s="42" t="inlineStr"/>
      <c r="O16" s="45" t="inlineStr">
        <is>
          <t>UC-19–21 / AI-SCOPE-01 | Integration | High</t>
        </is>
      </c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Height="0" firstPageNumber="0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 fitToPage="1"/>
  </sheetPr>
  <dimension ref="A2:R100"/>
  <sheetViews>
    <sheetView workbookViewId="0">
      <selection activeCell="A1" sqref="A1"/>
    </sheetView>
  </sheetViews>
  <sheetFormatPr baseColWidth="10" defaultColWidth="9" defaultRowHeight="13" outlineLevelRow="1"/>
  <cols>
    <col width="17" customWidth="1" style="61" min="1" max="1"/>
    <col width="34.5" customWidth="1" style="61" min="2" max="2"/>
    <col width="34.1640625" customWidth="1" style="61" min="3" max="3"/>
    <col width="34.6640625" customWidth="1" style="61" min="4" max="4"/>
    <col width="28.33203125" customWidth="1" style="61" min="5" max="5"/>
    <col width="9.33203125" customWidth="1" style="61" min="6" max="6"/>
    <col outlineLevel="1" width="10.6640625" customWidth="1" style="61" min="7" max="7"/>
    <col outlineLevel="1" width="7" bestFit="1" customWidth="1" style="61" min="8" max="8"/>
    <col width="9.33203125" customWidth="1" style="61" min="9" max="9"/>
    <col outlineLevel="1" width="10.6640625" customWidth="1" style="61" min="10" max="10"/>
    <col outlineLevel="1" width="7" bestFit="1" customWidth="1" style="61" min="11" max="11"/>
    <col width="9.33203125" customWidth="1" style="61" min="12" max="12"/>
    <col outlineLevel="1" width="10.6640625" customWidth="1" style="61" min="13" max="13"/>
    <col outlineLevel="1" width="7" bestFit="1" customWidth="1" style="61" min="14" max="14"/>
    <col width="28.6640625" customWidth="1" style="61" min="15" max="15"/>
    <col width="10.1640625" customWidth="1" style="61" min="16" max="16"/>
    <col width="8.1640625" customWidth="1" style="51" min="17" max="17"/>
    <col hidden="1" width="7.6640625" customWidth="1" style="61" min="18" max="18"/>
    <col width="9" customWidth="1" style="61" min="19" max="16384"/>
  </cols>
  <sheetData>
    <row r="1" ht="14" customHeight="1" thickBot="1"/>
    <row r="2" ht="15" customFormat="1" customHeight="1" s="32">
      <c r="A2" s="99" t="inlineStr">
        <is>
          <t>Feature</t>
        </is>
      </c>
      <c r="B2" s="109" t="inlineStr">
        <is>
          <t>Shared</t>
        </is>
      </c>
      <c r="C2" s="156" t="n"/>
      <c r="D2" s="156" t="n"/>
      <c r="E2" s="157" t="n"/>
      <c r="F2" s="89" t="n"/>
      <c r="G2" s="83" t="n"/>
      <c r="H2" s="33" t="n"/>
      <c r="I2" s="89" t="n"/>
      <c r="J2" s="83" t="n"/>
      <c r="K2" s="33" t="n"/>
      <c r="L2" s="89" t="n"/>
      <c r="M2" s="83" t="n"/>
      <c r="N2" s="33" t="n"/>
      <c r="O2" s="33" t="n"/>
      <c r="P2" s="33" t="n"/>
      <c r="Q2" s="31" t="n"/>
      <c r="R2" s="32" t="inlineStr">
        <is>
          <t>Passed</t>
        </is>
      </c>
    </row>
    <row r="3" ht="14" customFormat="1" customHeight="1" s="32">
      <c r="A3" s="100" t="inlineStr">
        <is>
          <t>Test requirement</t>
        </is>
      </c>
      <c r="B3" s="111" t="inlineStr">
        <is>
          <t>Shared auth / media / quality</t>
        </is>
      </c>
      <c r="C3" s="158" t="n"/>
      <c r="D3" s="158" t="n"/>
      <c r="E3" s="159" t="n"/>
      <c r="F3" s="89" t="n"/>
      <c r="G3" s="83" t="n"/>
      <c r="H3" s="33" t="n"/>
      <c r="I3" s="89" t="n"/>
      <c r="J3" s="83" t="n"/>
      <c r="K3" s="33" t="n"/>
      <c r="L3" s="89" t="n"/>
      <c r="M3" s="83" t="n"/>
      <c r="N3" s="33" t="n"/>
      <c r="O3" s="33" t="n"/>
      <c r="P3" s="33" t="n"/>
      <c r="Q3" s="31" t="n"/>
      <c r="R3" s="32" t="inlineStr">
        <is>
          <t>Failed</t>
        </is>
      </c>
    </row>
    <row r="4" ht="18" customFormat="1" customHeight="1" s="32">
      <c r="A4" s="100" t="inlineStr">
        <is>
          <t>Number of TCs</t>
        </is>
      </c>
      <c r="B4" s="111">
        <f>COUNTA(A12:A16)</f>
        <v/>
      </c>
      <c r="C4" s="158" t="n"/>
      <c r="D4" s="158" t="n"/>
      <c r="E4" s="159" t="n"/>
      <c r="F4" s="89" t="n"/>
      <c r="G4" s="83" t="n"/>
      <c r="H4" s="33" t="n"/>
      <c r="I4" s="89" t="n"/>
      <c r="J4" s="83" t="n"/>
      <c r="K4" s="33" t="n"/>
      <c r="L4" s="89" t="n"/>
      <c r="M4" s="83" t="n"/>
      <c r="N4" s="33" t="n"/>
      <c r="O4" s="33" t="n"/>
      <c r="P4" s="33" t="n"/>
      <c r="Q4" s="31" t="n"/>
      <c r="R4" s="32" t="inlineStr">
        <is>
          <t>Pending</t>
        </is>
      </c>
    </row>
    <row r="5" ht="19.5" customFormat="1" customHeight="1" s="32">
      <c r="A5" s="93" t="inlineStr">
        <is>
          <t>Testing Round</t>
        </is>
      </c>
      <c r="B5" s="91" t="inlineStr">
        <is>
          <t>Passed</t>
        </is>
      </c>
      <c r="C5" s="91" t="inlineStr">
        <is>
          <t>Failed</t>
        </is>
      </c>
      <c r="D5" s="91" t="inlineStr">
        <is>
          <t>Pending</t>
        </is>
      </c>
      <c r="E5" s="94" t="inlineStr">
        <is>
          <t>N/A</t>
        </is>
      </c>
      <c r="F5" s="84" t="n"/>
      <c r="G5" s="84" t="n"/>
      <c r="H5" s="34" t="n"/>
      <c r="I5" s="84" t="n"/>
      <c r="J5" s="84" t="n"/>
      <c r="K5" s="34" t="n"/>
      <c r="L5" s="84" t="n"/>
      <c r="M5" s="84" t="n"/>
      <c r="N5" s="34" t="n"/>
      <c r="O5" s="34" t="n"/>
      <c r="P5" s="34" t="n"/>
      <c r="Q5" s="35" t="n"/>
      <c r="R5" s="32" t="inlineStr">
        <is>
          <t>N/A</t>
        </is>
      </c>
    </row>
    <row r="6" ht="15" customFormat="1" customHeight="1" s="32">
      <c r="A6" s="93" t="inlineStr">
        <is>
          <t>Round 1</t>
        </is>
      </c>
      <c r="B6" s="92">
        <f>COUNTIF(F12:F16,"Passed")</f>
        <v/>
      </c>
      <c r="C6" s="92">
        <f>COUNTIF(F12:F16,"Failed")</f>
        <v/>
      </c>
      <c r="D6" s="92">
        <f>COUNTIF(F12:F16,"Pending")</f>
        <v/>
      </c>
      <c r="E6" s="98">
        <f>COUNTIF(F12:F16,"N/A")</f>
        <v/>
      </c>
      <c r="F6" s="85" t="n"/>
      <c r="G6" s="85" t="n"/>
      <c r="H6" s="34" t="n"/>
      <c r="I6" s="85" t="n"/>
      <c r="J6" s="85" t="n"/>
      <c r="K6" s="34" t="n"/>
      <c r="L6" s="85" t="n"/>
      <c r="M6" s="85" t="n"/>
      <c r="N6" s="34" t="n"/>
      <c r="O6" s="34" t="n"/>
      <c r="P6" s="34" t="n"/>
      <c r="Q6" s="35" t="n"/>
    </row>
    <row r="7" ht="15" customFormat="1" customHeight="1" s="32">
      <c r="A7" s="93" t="inlineStr">
        <is>
          <t>Round 2</t>
        </is>
      </c>
      <c r="B7" s="92">
        <f>COUNTIF(I12:I16,"Passed")</f>
        <v/>
      </c>
      <c r="C7" s="92">
        <f>COUNTIF(I12:I16,"Failed")</f>
        <v/>
      </c>
      <c r="D7" s="92">
        <f>COUNTIF(I12:I16,"Pending")</f>
        <v/>
      </c>
      <c r="E7" s="98">
        <f>COUNTIF(I12:I16,"N/A")</f>
        <v/>
      </c>
      <c r="F7" s="85" t="n"/>
      <c r="G7" s="85" t="n"/>
      <c r="H7" s="34" t="n"/>
      <c r="I7" s="85" t="n"/>
      <c r="J7" s="85" t="n"/>
      <c r="K7" s="34" t="n"/>
      <c r="L7" s="85" t="n"/>
      <c r="M7" s="85" t="n"/>
      <c r="N7" s="34" t="n"/>
      <c r="O7" s="34" t="n"/>
      <c r="P7" s="34" t="n"/>
      <c r="Q7" s="35" t="n"/>
    </row>
    <row r="8" ht="15" customFormat="1" customHeight="1" s="32" thickBot="1">
      <c r="A8" s="95" t="inlineStr">
        <is>
          <t>Round 3</t>
        </is>
      </c>
      <c r="B8" s="96">
        <f>COUNTIF(L12:L16,"Passed")</f>
        <v/>
      </c>
      <c r="C8" s="96">
        <f>COUNTIF(L12:L16,"Failed")</f>
        <v/>
      </c>
      <c r="D8" s="96">
        <f>COUNTIF(L12:L16,"Pending")</f>
        <v/>
      </c>
      <c r="E8" s="97">
        <f>COUNTIF(L12:L16,"N/A")</f>
        <v/>
      </c>
      <c r="F8" s="85" t="n"/>
      <c r="G8" s="85" t="n"/>
      <c r="H8" s="34" t="n"/>
      <c r="I8" s="85" t="n"/>
      <c r="J8" s="85" t="n"/>
      <c r="K8" s="34" t="n"/>
      <c r="L8" s="85" t="n"/>
      <c r="M8" s="85" t="n"/>
      <c r="N8" s="34" t="n"/>
      <c r="O8" s="34" t="n"/>
      <c r="P8" s="34" t="n"/>
      <c r="Q8" s="35" t="n"/>
    </row>
    <row r="9" ht="15" customFormat="1" customHeight="1" s="32">
      <c r="A9" s="34" t="n"/>
      <c r="B9" s="34" t="n"/>
      <c r="C9" s="34" t="n"/>
      <c r="D9" s="34" t="n"/>
      <c r="E9" s="34" t="n"/>
      <c r="F9" s="36" t="n"/>
      <c r="G9" s="34" t="n"/>
      <c r="H9" s="34" t="n"/>
      <c r="I9" s="36" t="n"/>
      <c r="J9" s="34" t="n"/>
      <c r="K9" s="34" t="n"/>
      <c r="L9" s="36" t="n"/>
      <c r="M9" s="34" t="n"/>
      <c r="N9" s="34" t="n"/>
      <c r="O9" s="34" t="n"/>
      <c r="P9" s="34" t="n"/>
      <c r="Q9" s="35" t="n"/>
    </row>
    <row r="10" ht="25.5" customFormat="1" customHeight="1" s="32">
      <c r="A10" s="90" t="inlineStr">
        <is>
          <t>Test Case ID</t>
        </is>
      </c>
      <c r="B10" s="90" t="inlineStr">
        <is>
          <t>Test Case Description</t>
        </is>
      </c>
      <c r="C10" s="90" t="inlineStr">
        <is>
          <t>Test Case Procedure</t>
        </is>
      </c>
      <c r="D10" s="90" t="inlineStr">
        <is>
          <t>Expected Results</t>
        </is>
      </c>
      <c r="E10" s="90" t="inlineStr">
        <is>
          <t>Pre-conditions</t>
        </is>
      </c>
      <c r="F10" s="90" t="inlineStr">
        <is>
          <t>Round 1</t>
        </is>
      </c>
      <c r="G10" s="90" t="inlineStr">
        <is>
          <t>Test date</t>
        </is>
      </c>
      <c r="H10" s="90" t="inlineStr">
        <is>
          <t>Tester</t>
        </is>
      </c>
      <c r="I10" s="90" t="inlineStr">
        <is>
          <t>Round 2</t>
        </is>
      </c>
      <c r="J10" s="90" t="inlineStr">
        <is>
          <t>Test date</t>
        </is>
      </c>
      <c r="K10" s="90" t="inlineStr">
        <is>
          <t>Tester</t>
        </is>
      </c>
      <c r="L10" s="90" t="inlineStr">
        <is>
          <t>Round 3</t>
        </is>
      </c>
      <c r="M10" s="90" t="inlineStr">
        <is>
          <t>Test date</t>
        </is>
      </c>
      <c r="N10" s="90" t="inlineStr">
        <is>
          <t>Tester</t>
        </is>
      </c>
      <c r="O10" s="90" t="inlineStr">
        <is>
          <t>Note</t>
        </is>
      </c>
      <c r="Q10" s="37" t="n"/>
    </row>
    <row r="11" ht="15.75" customFormat="1" customHeight="1" s="32">
      <c r="A11" s="86" t="inlineStr">
        <is>
          <t>Shared functions</t>
        </is>
      </c>
      <c r="B11" s="86" t="n"/>
      <c r="C11" s="87" t="n"/>
      <c r="D11" s="87" t="n"/>
      <c r="E11" s="87" t="n"/>
      <c r="F11" s="87" t="n"/>
      <c r="G11" s="87" t="n"/>
      <c r="H11" s="87" t="n"/>
      <c r="I11" s="87" t="n"/>
      <c r="J11" s="87" t="n"/>
      <c r="K11" s="87" t="n"/>
      <c r="L11" s="87" t="n"/>
      <c r="M11" s="87" t="n"/>
      <c r="N11" s="87" t="n"/>
      <c r="O11" s="88" t="n"/>
      <c r="Q11" s="41" t="n"/>
    </row>
    <row r="12" outlineLevel="1" ht="90" customFormat="1" customHeight="1" s="47">
      <c r="A12" s="42" t="inlineStr">
        <is>
          <t>TC-S01</t>
        </is>
      </c>
      <c r="B12" s="43" t="inlineStr">
        <is>
          <t>Session and first-login OTP</t>
        </is>
      </c>
      <c r="C12" s="43" t="inlineStr">
        <is>
          <t>Activate permitted registration with OTP, sign in/out and inspect protected routes.</t>
        </is>
      </c>
      <c r="D12" s="44" t="inlineStr">
        <is>
          <t>Correct role/session lifecycle; invalid/expired/replayed OTP denied.</t>
        </is>
      </c>
      <c r="E12" s="44" t="inlineStr">
        <is>
          <t>Tagged test build; scoped identities; controlled fixtures; required implementation available.</t>
        </is>
      </c>
      <c r="F12" s="42" t="inlineStr">
        <is>
          <t>Pending</t>
        </is>
      </c>
      <c r="G12" s="42" t="inlineStr"/>
      <c r="H12" s="42" t="inlineStr"/>
      <c r="I12" s="42" t="inlineStr">
        <is>
          <t>Pending</t>
        </is>
      </c>
      <c r="J12" s="42" t="inlineStr"/>
      <c r="K12" s="42" t="inlineStr"/>
      <c r="L12" s="42" t="inlineStr">
        <is>
          <t>Pending</t>
        </is>
      </c>
      <c r="M12" s="42" t="inlineStr"/>
      <c r="N12" s="42" t="inlineStr"/>
      <c r="O12" s="45" t="inlineStr">
        <is>
          <t>Shared auth / media / quality | Integration | High</t>
        </is>
      </c>
      <c r="Q12" s="46" t="n"/>
    </row>
    <row r="13" outlineLevel="1" ht="90" customHeight="1">
      <c r="A13" s="42" t="inlineStr">
        <is>
          <t>TC-S02</t>
        </is>
      </c>
      <c r="B13" s="43" t="inlineStr">
        <is>
          <t>Avatar and license protection</t>
        </is>
      </c>
      <c r="C13" s="43" t="inlineStr">
        <is>
          <t>Upload valid image; try unsupported/oversize file and other-user media; Manager reviews credential change.</t>
        </is>
      </c>
      <c r="D13" s="44" t="inlineStr">
        <is>
          <t>Protected media renders; invalid files rejected; current credential preserved until approval.</t>
        </is>
      </c>
      <c r="E13" s="44" t="inlineStr">
        <is>
          <t>Tagged test build; scoped identities; controlled fixtures; required implementation available.</t>
        </is>
      </c>
      <c r="F13" s="42" t="inlineStr">
        <is>
          <t>Pending</t>
        </is>
      </c>
      <c r="G13" s="42" t="inlineStr"/>
      <c r="H13" s="42" t="inlineStr"/>
      <c r="I13" s="42" t="inlineStr">
        <is>
          <t>Pending</t>
        </is>
      </c>
      <c r="J13" s="42" t="inlineStr"/>
      <c r="K13" s="42" t="inlineStr"/>
      <c r="L13" s="42" t="inlineStr">
        <is>
          <t>Pending</t>
        </is>
      </c>
      <c r="M13" s="42" t="inlineStr"/>
      <c r="N13" s="42" t="inlineStr"/>
      <c r="O13" s="45" t="inlineStr">
        <is>
          <t>Shared auth / media / quality | Integration | High</t>
        </is>
      </c>
      <c r="Q13" s="46" t="n"/>
    </row>
    <row r="14" outlineLevel="1" ht="90" customHeight="1">
      <c r="A14" s="42" t="inlineStr">
        <is>
          <t>TC-S03</t>
        </is>
      </c>
      <c r="B14" s="43" t="inlineStr">
        <is>
          <t>Email change and feedback</t>
        </is>
      </c>
      <c r="C14" s="43" t="inlineStr">
        <is>
          <t>Request email change to existing email then unique email; verify delivered OTP; retry invalid code.</t>
        </is>
      </c>
      <c r="D14" s="44" t="inlineStr">
        <is>
          <t>Duplicate email prominently rejected; unique change applied only after verification; no false success.</t>
        </is>
      </c>
      <c r="E14" s="44" t="inlineStr">
        <is>
          <t>Tagged test build; scoped identities; controlled fixtures; required implementation available.</t>
        </is>
      </c>
      <c r="F14" s="42" t="inlineStr">
        <is>
          <t>Pending</t>
        </is>
      </c>
      <c r="G14" s="42" t="inlineStr"/>
      <c r="H14" s="42" t="inlineStr"/>
      <c r="I14" s="42" t="inlineStr">
        <is>
          <t>Pending</t>
        </is>
      </c>
      <c r="J14" s="42" t="inlineStr"/>
      <c r="K14" s="42" t="inlineStr"/>
      <c r="L14" s="42" t="inlineStr">
        <is>
          <t>Pending</t>
        </is>
      </c>
      <c r="M14" s="42" t="inlineStr"/>
      <c r="N14" s="42" t="inlineStr"/>
      <c r="O14" s="45" t="inlineStr">
        <is>
          <t>Shared auth / media / quality | Integration | High</t>
        </is>
      </c>
      <c r="Q14" s="46" t="n"/>
    </row>
    <row r="15" ht="90" customFormat="1" customHeight="1" s="32">
      <c r="A15" s="42" t="inlineStr">
        <is>
          <t>TC-S04</t>
        </is>
      </c>
      <c r="B15" s="43" t="inlineStr">
        <is>
          <t>Accessibility and small-screen forms</t>
        </is>
      </c>
      <c r="C15" s="43" t="inlineStr">
        <is>
          <t>Keyboard navigate error, route, profile and review forms at desktop and narrow viewport.</t>
        </is>
      </c>
      <c r="D15" s="44" t="inlineStr">
        <is>
          <t>Labels/focus/visible status and textual map findings remain usable.</t>
        </is>
      </c>
      <c r="E15" s="44" t="inlineStr">
        <is>
          <t>Tagged test build; scoped identities; controlled fixtures; required implementation available.</t>
        </is>
      </c>
      <c r="F15" s="42" t="inlineStr">
        <is>
          <t>Pending</t>
        </is>
      </c>
      <c r="G15" s="42" t="inlineStr"/>
      <c r="H15" s="42" t="inlineStr"/>
      <c r="I15" s="42" t="inlineStr">
        <is>
          <t>Pending</t>
        </is>
      </c>
      <c r="J15" s="42" t="inlineStr"/>
      <c r="K15" s="42" t="inlineStr"/>
      <c r="L15" s="42" t="inlineStr">
        <is>
          <t>Pending</t>
        </is>
      </c>
      <c r="M15" s="42" t="inlineStr"/>
      <c r="N15" s="42" t="inlineStr"/>
      <c r="O15" s="45" t="inlineStr">
        <is>
          <t>Shared auth / media / quality | Integration | High</t>
        </is>
      </c>
      <c r="Q15" s="41" t="n"/>
    </row>
    <row r="16" outlineLevel="1" ht="90" customHeight="1">
      <c r="A16" s="42" t="inlineStr">
        <is>
          <t>TC-S05</t>
        </is>
      </c>
      <c r="B16" s="43" t="inlineStr">
        <is>
          <t>CI and secrets</t>
        </is>
      </c>
      <c r="C16" s="43" t="inlineStr">
        <is>
          <t>Run configured CI on tagged PR; inspect logs/artifacts and repository secret scanning process.</t>
        </is>
      </c>
      <c r="D16" s="44" t="inlineStr">
        <is>
          <t>Build/lint/typecheck/offline checks pass with logs; secrets absent; branch protection configured separately.</t>
        </is>
      </c>
      <c r="E16" s="44" t="inlineStr">
        <is>
          <t>Tagged test build; scoped identities; controlled fixtures; required implementation available.</t>
        </is>
      </c>
      <c r="F16" s="42" t="inlineStr">
        <is>
          <t>Pending</t>
        </is>
      </c>
      <c r="G16" s="42" t="inlineStr"/>
      <c r="H16" s="42" t="inlineStr"/>
      <c r="I16" s="42" t="inlineStr">
        <is>
          <t>Pending</t>
        </is>
      </c>
      <c r="J16" s="42" t="inlineStr"/>
      <c r="K16" s="42" t="inlineStr"/>
      <c r="L16" s="42" t="inlineStr">
        <is>
          <t>Pending</t>
        </is>
      </c>
      <c r="M16" s="42" t="inlineStr"/>
      <c r="N16" s="42" t="inlineStr"/>
      <c r="O16" s="45" t="inlineStr">
        <is>
          <t>Shared auth / media / quality | Integration | High</t>
        </is>
      </c>
      <c r="Q16" s="46" t="n"/>
    </row>
    <row r="17" outlineLevel="1" ht="14" customHeight="1">
      <c r="A17" s="42" t="n"/>
      <c r="B17" s="42" t="n"/>
      <c r="C17" s="42" t="n"/>
      <c r="D17" s="42" t="n"/>
      <c r="E17" s="42" t="n"/>
      <c r="F17" s="42" t="n"/>
      <c r="G17" s="50" t="n"/>
      <c r="H17" s="50" t="n"/>
      <c r="I17" s="42" t="n"/>
      <c r="J17" s="50" t="n"/>
      <c r="K17" s="50" t="n"/>
      <c r="L17" s="42" t="n"/>
      <c r="M17" s="50" t="n"/>
      <c r="N17" s="50" t="n"/>
      <c r="O17" s="50" t="n"/>
      <c r="Q17" s="51" t="n"/>
    </row>
    <row r="18" ht="15.75" customFormat="1" customHeight="1" s="32">
      <c r="A18" s="86" t="n"/>
      <c r="B18" s="38" t="n"/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40" t="n"/>
      <c r="Q18" s="41" t="n"/>
    </row>
    <row r="19" outlineLevel="1" ht="14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5" t="n"/>
      <c r="Q19" s="46" t="n"/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</sheetData>
  <mergeCells count="3">
    <mergeCell ref="B3:E3"/>
    <mergeCell ref="B2:E2"/>
    <mergeCell ref="B4:E4"/>
  </mergeCells>
  <pageMargins left="0.7479166666666667" right="0.25" top="0.75" bottom="0.9840277777777777" header="0.5" footer="0.5"/>
  <pageSetup orientation="landscape" paperSize="9" fitToHeight="0" firstPageNumber="0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:title xmlns:dc="http://purl.org/dc/elements/1.1/">Test case</dc:title>
  <dc:description xmlns:dc="http://purl.org/dc/elements/1.1/">Updates sheet Cover: Add logo, document code, creator, reviewer/approver._x000d_
Add sheet Test Case List._x000d_
Change Sheet Company, User, Provider to Modules. Add column Inter-test case dependent. Update these sheets._x000d_
Update Test Report</dc:description>
  <dc:subject xmlns:dc="http://purl.org/dc/elements/1.1/">v1/0</dc:subject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2026-10-20T03:44:02Z</dcterms:modified>
  <cp:lastModifiedBy>KienNT</cp:lastModifiedBy>
  <cp:category>BM</cp:category>
  <cp:lastPrinted>2010-11-12T10:33:20Z</cp:lastPrinted>
</cp:coreProperties>
</file>